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skar Xalxo\Desktop\Fin Model Project\"/>
    </mc:Choice>
  </mc:AlternateContent>
  <bookViews>
    <workbookView xWindow="0" yWindow="0" windowWidth="23040" windowHeight="9072" tabRatio="827" activeTab="1"/>
  </bookViews>
  <sheets>
    <sheet name="Financials&gt;" sheetId="2" r:id="rId1"/>
    <sheet name="HistoricalFS" sheetId="3" r:id="rId2"/>
    <sheet name="Ratio Analysis" sheetId="6" r:id="rId3"/>
    <sheet name="Growth Assumptions" sheetId="7" r:id="rId4"/>
    <sheet name="FCFF" sheetId="10" r:id="rId5"/>
    <sheet name="WACC" sheetId="11" r:id="rId6"/>
    <sheet name="Common Size Statement" sheetId="16" r:id="rId7"/>
    <sheet name="DCF" sheetId="14" r:id="rId8"/>
    <sheet name="Comps Analysis" sheetId="17" r:id="rId9"/>
    <sheet name="Data&gt;" sheetId="4" r:id="rId10"/>
    <sheet name="Data Sheet" sheetId="1" r:id="rId11"/>
    <sheet name="Cash Flow Data" sheetId="5" r:id="rId12"/>
    <sheet name="Beta - Comps Data" sheetId="12" r:id="rId13"/>
    <sheet name="Analysis - Comps Data" sheetId="18" r:id="rId14"/>
  </sheets>
  <definedNames>
    <definedName name="_xlnm._FilterDatabase" localSheetId="1" hidden="1">HistoricalFS!$C$70:$L$78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4" l="1"/>
  <c r="C12" i="14"/>
  <c r="N15" i="17" l="1"/>
  <c r="K15" i="17"/>
  <c r="J15" i="17"/>
  <c r="I15" i="17"/>
  <c r="G15" i="17"/>
  <c r="F15" i="17"/>
  <c r="E21" i="17" s="1"/>
  <c r="E15" i="17"/>
  <c r="C15" i="17"/>
  <c r="N10" i="17"/>
  <c r="N9" i="17"/>
  <c r="N8" i="17"/>
  <c r="N7" i="17"/>
  <c r="K10" i="17"/>
  <c r="K9" i="17"/>
  <c r="K8" i="17"/>
  <c r="K7" i="17"/>
  <c r="J10" i="17"/>
  <c r="J9" i="17"/>
  <c r="J8" i="17"/>
  <c r="J7" i="17"/>
  <c r="I10" i="17"/>
  <c r="I9" i="17"/>
  <c r="I8" i="17"/>
  <c r="I7" i="17"/>
  <c r="G10" i="17"/>
  <c r="G9" i="17"/>
  <c r="G8" i="17"/>
  <c r="G7" i="17"/>
  <c r="F10" i="17"/>
  <c r="F9" i="17"/>
  <c r="F8" i="17"/>
  <c r="F7" i="17"/>
  <c r="E10" i="17"/>
  <c r="E9" i="17"/>
  <c r="E8" i="17"/>
  <c r="E7" i="17"/>
  <c r="C10" i="17"/>
  <c r="C9" i="17"/>
  <c r="C8" i="17"/>
  <c r="C7" i="17"/>
  <c r="B9" i="17"/>
  <c r="B10" i="17"/>
  <c r="B8" i="17"/>
  <c r="B7" i="17"/>
  <c r="L20" i="16"/>
  <c r="K20" i="16"/>
  <c r="J20" i="16"/>
  <c r="I20" i="16"/>
  <c r="H20" i="16"/>
  <c r="G20" i="16"/>
  <c r="F20" i="16"/>
  <c r="E20" i="16"/>
  <c r="D20" i="16"/>
  <c r="C20" i="16"/>
  <c r="L19" i="16"/>
  <c r="K19" i="16"/>
  <c r="J19" i="16"/>
  <c r="I19" i="16"/>
  <c r="H19" i="16"/>
  <c r="G19" i="16"/>
  <c r="F19" i="16"/>
  <c r="E19" i="16"/>
  <c r="D19" i="16"/>
  <c r="C19" i="16"/>
  <c r="L18" i="16"/>
  <c r="K18" i="16"/>
  <c r="J18" i="16"/>
  <c r="I18" i="16"/>
  <c r="H18" i="16"/>
  <c r="G18" i="16"/>
  <c r="F18" i="16"/>
  <c r="E18" i="16"/>
  <c r="D18" i="16"/>
  <c r="C18" i="16"/>
  <c r="L17" i="16"/>
  <c r="K17" i="16"/>
  <c r="J17" i="16"/>
  <c r="I17" i="16"/>
  <c r="H17" i="16"/>
  <c r="G17" i="16"/>
  <c r="F17" i="16"/>
  <c r="E17" i="16"/>
  <c r="D17" i="16"/>
  <c r="C17" i="16"/>
  <c r="L16" i="16"/>
  <c r="K16" i="16"/>
  <c r="J16" i="16"/>
  <c r="I16" i="16"/>
  <c r="H16" i="16"/>
  <c r="G16" i="16"/>
  <c r="F16" i="16"/>
  <c r="E16" i="16"/>
  <c r="D16" i="16"/>
  <c r="C16" i="16"/>
  <c r="L15" i="16"/>
  <c r="K15" i="16"/>
  <c r="J15" i="16"/>
  <c r="I15" i="16"/>
  <c r="H15" i="16"/>
  <c r="G15" i="16"/>
  <c r="F15" i="16"/>
  <c r="E15" i="16"/>
  <c r="D15" i="16"/>
  <c r="C15" i="16"/>
  <c r="L14" i="16"/>
  <c r="K14" i="16"/>
  <c r="J14" i="16"/>
  <c r="I14" i="16"/>
  <c r="H14" i="16"/>
  <c r="G14" i="16"/>
  <c r="F14" i="16"/>
  <c r="E14" i="16"/>
  <c r="D14" i="16"/>
  <c r="C14" i="16"/>
  <c r="L13" i="16"/>
  <c r="K13" i="16"/>
  <c r="J13" i="16"/>
  <c r="I13" i="16"/>
  <c r="H13" i="16"/>
  <c r="G13" i="16"/>
  <c r="F13" i="16"/>
  <c r="E13" i="16"/>
  <c r="D13" i="16"/>
  <c r="C13" i="16"/>
  <c r="L12" i="16"/>
  <c r="K12" i="16"/>
  <c r="J12" i="16"/>
  <c r="I12" i="16"/>
  <c r="H12" i="16"/>
  <c r="G12" i="16"/>
  <c r="F12" i="16"/>
  <c r="E12" i="16"/>
  <c r="D12" i="16"/>
  <c r="C12" i="16"/>
  <c r="L11" i="16"/>
  <c r="K11" i="16"/>
  <c r="J11" i="16"/>
  <c r="I11" i="16"/>
  <c r="H11" i="16"/>
  <c r="G11" i="16"/>
  <c r="F11" i="16"/>
  <c r="E11" i="16"/>
  <c r="D11" i="16"/>
  <c r="C11" i="16"/>
  <c r="L10" i="16"/>
  <c r="K10" i="16"/>
  <c r="J10" i="16"/>
  <c r="I10" i="16"/>
  <c r="H10" i="16"/>
  <c r="G10" i="16"/>
  <c r="F10" i="16"/>
  <c r="E10" i="16"/>
  <c r="D10" i="16"/>
  <c r="C10" i="16"/>
  <c r="L9" i="16"/>
  <c r="K9" i="16"/>
  <c r="J9" i="16"/>
  <c r="I9" i="16"/>
  <c r="H9" i="16"/>
  <c r="G9" i="16"/>
  <c r="F9" i="16"/>
  <c r="E9" i="16"/>
  <c r="D9" i="16"/>
  <c r="C9" i="16"/>
  <c r="L8" i="16"/>
  <c r="K8" i="16"/>
  <c r="J8" i="16"/>
  <c r="I8" i="16"/>
  <c r="H8" i="16"/>
  <c r="G8" i="16"/>
  <c r="F8" i="16"/>
  <c r="E8" i="16"/>
  <c r="D8" i="16"/>
  <c r="C8" i="16"/>
  <c r="L7" i="16"/>
  <c r="K7" i="16"/>
  <c r="J7" i="16"/>
  <c r="I7" i="16"/>
  <c r="H7" i="16"/>
  <c r="G7" i="16"/>
  <c r="F7" i="16"/>
  <c r="E7" i="16"/>
  <c r="D7" i="16"/>
  <c r="C7" i="16"/>
  <c r="L6" i="16"/>
  <c r="K6" i="16"/>
  <c r="J6" i="16"/>
  <c r="I6" i="16"/>
  <c r="H6" i="16"/>
  <c r="G6" i="16"/>
  <c r="F6" i="16"/>
  <c r="E6" i="16"/>
  <c r="D6" i="16"/>
  <c r="C6" i="16"/>
  <c r="L24" i="16"/>
  <c r="K24" i="16"/>
  <c r="J24" i="16"/>
  <c r="I24" i="16"/>
  <c r="H24" i="16"/>
  <c r="G24" i="16"/>
  <c r="F24" i="16"/>
  <c r="E24" i="16"/>
  <c r="D24" i="16"/>
  <c r="C24" i="16"/>
  <c r="L39" i="16"/>
  <c r="K39" i="16"/>
  <c r="J39" i="16"/>
  <c r="I39" i="16"/>
  <c r="H39" i="16"/>
  <c r="G39" i="16"/>
  <c r="F39" i="16"/>
  <c r="E39" i="16"/>
  <c r="D39" i="16"/>
  <c r="C39" i="16"/>
  <c r="L38" i="16"/>
  <c r="K38" i="16"/>
  <c r="J38" i="16"/>
  <c r="I38" i="16"/>
  <c r="H38" i="16"/>
  <c r="G38" i="16"/>
  <c r="F38" i="16"/>
  <c r="E38" i="16"/>
  <c r="D38" i="16"/>
  <c r="C38" i="16"/>
  <c r="L37" i="16"/>
  <c r="K37" i="16"/>
  <c r="J37" i="16"/>
  <c r="I37" i="16"/>
  <c r="H37" i="16"/>
  <c r="G37" i="16"/>
  <c r="F37" i="16"/>
  <c r="E37" i="16"/>
  <c r="D37" i="16"/>
  <c r="C37" i="16"/>
  <c r="L36" i="16"/>
  <c r="K36" i="16"/>
  <c r="J36" i="16"/>
  <c r="I36" i="16"/>
  <c r="H36" i="16"/>
  <c r="G36" i="16"/>
  <c r="F36" i="16"/>
  <c r="E36" i="16"/>
  <c r="D36" i="16"/>
  <c r="C36" i="16"/>
  <c r="L35" i="16"/>
  <c r="K35" i="16"/>
  <c r="J35" i="16"/>
  <c r="I35" i="16"/>
  <c r="H35" i="16"/>
  <c r="G35" i="16"/>
  <c r="F35" i="16"/>
  <c r="E35" i="16"/>
  <c r="D35" i="16"/>
  <c r="C35" i="16"/>
  <c r="L34" i="16"/>
  <c r="K34" i="16"/>
  <c r="J34" i="16"/>
  <c r="I34" i="16"/>
  <c r="H34" i="16"/>
  <c r="G34" i="16"/>
  <c r="F34" i="16"/>
  <c r="E34" i="16"/>
  <c r="D34" i="16"/>
  <c r="C34" i="16"/>
  <c r="L33" i="16"/>
  <c r="K33" i="16"/>
  <c r="J33" i="16"/>
  <c r="I33" i="16"/>
  <c r="H33" i="16"/>
  <c r="G33" i="16"/>
  <c r="F33" i="16"/>
  <c r="E33" i="16"/>
  <c r="D33" i="16"/>
  <c r="C33" i="16"/>
  <c r="L32" i="16"/>
  <c r="K32" i="16"/>
  <c r="J32" i="16"/>
  <c r="I32" i="16"/>
  <c r="H32" i="16"/>
  <c r="G32" i="16"/>
  <c r="F32" i="16"/>
  <c r="E32" i="16"/>
  <c r="D32" i="16"/>
  <c r="C32" i="16"/>
  <c r="K74" i="1"/>
  <c r="J74" i="1"/>
  <c r="I74" i="1"/>
  <c r="H74" i="1"/>
  <c r="G74" i="1"/>
  <c r="F74" i="1"/>
  <c r="E74" i="1"/>
  <c r="D74" i="1"/>
  <c r="C74" i="1"/>
  <c r="B74" i="1"/>
  <c r="B39" i="16"/>
  <c r="B38" i="16"/>
  <c r="B37" i="16"/>
  <c r="B36" i="16"/>
  <c r="B35" i="16"/>
  <c r="B34" i="16"/>
  <c r="B33" i="16"/>
  <c r="L30" i="16"/>
  <c r="K30" i="16"/>
  <c r="J30" i="16"/>
  <c r="I30" i="16"/>
  <c r="H30" i="16"/>
  <c r="G30" i="16"/>
  <c r="F30" i="16"/>
  <c r="E30" i="16"/>
  <c r="D30" i="16"/>
  <c r="C30" i="16"/>
  <c r="L29" i="16"/>
  <c r="K29" i="16"/>
  <c r="J29" i="16"/>
  <c r="I29" i="16"/>
  <c r="H29" i="16"/>
  <c r="G29" i="16"/>
  <c r="F29" i="16"/>
  <c r="E29" i="16"/>
  <c r="D29" i="16"/>
  <c r="C29" i="16"/>
  <c r="L28" i="16"/>
  <c r="K28" i="16"/>
  <c r="J28" i="16"/>
  <c r="I28" i="16"/>
  <c r="H28" i="16"/>
  <c r="G28" i="16"/>
  <c r="F28" i="16"/>
  <c r="E28" i="16"/>
  <c r="D28" i="16"/>
  <c r="C28" i="16"/>
  <c r="L27" i="16"/>
  <c r="K27" i="16"/>
  <c r="J27" i="16"/>
  <c r="I27" i="16"/>
  <c r="H27" i="16"/>
  <c r="G27" i="16"/>
  <c r="F27" i="16"/>
  <c r="E27" i="16"/>
  <c r="D27" i="16"/>
  <c r="C27" i="16"/>
  <c r="L26" i="16"/>
  <c r="K26" i="16"/>
  <c r="J26" i="16"/>
  <c r="I26" i="16"/>
  <c r="H26" i="16"/>
  <c r="G26" i="16"/>
  <c r="F26" i="16"/>
  <c r="E26" i="16"/>
  <c r="D26" i="16"/>
  <c r="C26" i="16"/>
  <c r="B30" i="16"/>
  <c r="B29" i="16"/>
  <c r="B28" i="16"/>
  <c r="B27" i="16"/>
  <c r="B22" i="16"/>
  <c r="B2" i="16"/>
  <c r="L4" i="16"/>
  <c r="K4" i="16"/>
  <c r="J4" i="16"/>
  <c r="I4" i="16"/>
  <c r="H4" i="16"/>
  <c r="G4" i="16"/>
  <c r="F4" i="16"/>
  <c r="E4" i="16"/>
  <c r="D4" i="16"/>
  <c r="C4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N13" i="17" l="1"/>
  <c r="C21" i="17" s="1"/>
  <c r="F21" i="17" s="1"/>
  <c r="D21" i="17" s="1"/>
  <c r="H7" i="17"/>
  <c r="M7" i="17" s="1"/>
  <c r="H8" i="17"/>
  <c r="M8" i="17" s="1"/>
  <c r="H9" i="17"/>
  <c r="M9" i="17" s="1"/>
  <c r="N12" i="17"/>
  <c r="D15" i="17"/>
  <c r="G21" i="17" s="1"/>
  <c r="H10" i="17"/>
  <c r="M10" i="17" s="1"/>
  <c r="E20" i="17"/>
  <c r="G20" i="17"/>
  <c r="E19" i="17"/>
  <c r="H15" i="17"/>
  <c r="L15" i="17" s="1"/>
  <c r="D10" i="17"/>
  <c r="D7" i="17"/>
  <c r="D8" i="17"/>
  <c r="D9" i="17"/>
  <c r="L8" i="17" l="1"/>
  <c r="L7" i="17"/>
  <c r="M15" i="17"/>
  <c r="H21" i="17"/>
  <c r="L9" i="17"/>
  <c r="L10" i="17"/>
  <c r="G19" i="17"/>
  <c r="M13" i="17"/>
  <c r="C20" i="17" s="1"/>
  <c r="D20" i="17" s="1"/>
  <c r="F20" i="17" s="1"/>
  <c r="H20" i="17" s="1"/>
  <c r="M12" i="17"/>
  <c r="G32" i="14"/>
  <c r="E12" i="11"/>
  <c r="E11" i="11"/>
  <c r="E10" i="11"/>
  <c r="E9" i="11"/>
  <c r="E8" i="11"/>
  <c r="D12" i="11"/>
  <c r="D11" i="11"/>
  <c r="D10" i="11"/>
  <c r="D9" i="11"/>
  <c r="D8" i="11"/>
  <c r="C37" i="14"/>
  <c r="C38" i="14" s="1"/>
  <c r="C39" i="14" s="1"/>
  <c r="L13" i="17" l="1"/>
  <c r="C19" i="17" s="1"/>
  <c r="D19" i="17" s="1"/>
  <c r="F19" i="17" s="1"/>
  <c r="H19" i="17" s="1"/>
  <c r="L12" i="17"/>
  <c r="E32" i="14"/>
  <c r="D32" i="14" s="1"/>
  <c r="C35" i="14"/>
  <c r="C34" i="14" s="1"/>
  <c r="C33" i="14" s="1"/>
  <c r="C40" i="14"/>
  <c r="H32" i="14"/>
  <c r="I32" i="14" s="1"/>
  <c r="C26" i="14" l="1"/>
  <c r="C24" i="14"/>
  <c r="C22" i="14"/>
  <c r="C21" i="14"/>
  <c r="B2" i="14" l="1"/>
  <c r="D3" i="14"/>
  <c r="E3" i="14" s="1"/>
  <c r="F3" i="14" s="1"/>
  <c r="G3" i="14" s="1"/>
  <c r="C30" i="11"/>
  <c r="C29" i="11"/>
  <c r="C31" i="11" l="1"/>
  <c r="D30" i="11" s="1"/>
  <c r="D29" i="11" l="1"/>
  <c r="D33" i="11" l="1"/>
  <c r="D31" i="11"/>
  <c r="E31" i="11" s="1"/>
  <c r="J21" i="11" l="1"/>
  <c r="J20" i="11"/>
  <c r="C24" i="7"/>
  <c r="I15" i="11" l="1"/>
  <c r="I14" i="11"/>
  <c r="F8" i="11"/>
  <c r="F15" i="11" s="1"/>
  <c r="H8" i="11"/>
  <c r="G8" i="11"/>
  <c r="J8" i="11" s="1"/>
  <c r="H12" i="11"/>
  <c r="H11" i="11"/>
  <c r="H10" i="11"/>
  <c r="H9" i="11"/>
  <c r="G12" i="11"/>
  <c r="G11" i="11"/>
  <c r="G10" i="11"/>
  <c r="G9" i="11"/>
  <c r="F12" i="11"/>
  <c r="E21" i="11" s="1"/>
  <c r="F11" i="11"/>
  <c r="F10" i="11"/>
  <c r="J10" i="11" s="1"/>
  <c r="F9" i="11"/>
  <c r="J11" i="11" l="1"/>
  <c r="F14" i="11"/>
  <c r="E22" i="11"/>
  <c r="J38" i="11" s="1"/>
  <c r="J30" i="11"/>
  <c r="J9" i="11"/>
  <c r="J12" i="11"/>
  <c r="H15" i="11"/>
  <c r="E29" i="11" s="1"/>
  <c r="E30" i="11" s="1"/>
  <c r="J36" i="11" s="1"/>
  <c r="H14" i="11"/>
  <c r="G15" i="11"/>
  <c r="G14" i="11"/>
  <c r="J15" i="11"/>
  <c r="J28" i="11" s="1"/>
  <c r="J14" i="11"/>
  <c r="L106" i="3"/>
  <c r="K106" i="3"/>
  <c r="J106" i="3"/>
  <c r="F106" i="3"/>
  <c r="E106" i="3"/>
  <c r="D106" i="3"/>
  <c r="L105" i="3"/>
  <c r="K105" i="3"/>
  <c r="J105" i="3"/>
  <c r="I105" i="3"/>
  <c r="I106" i="3" s="1"/>
  <c r="H105" i="3"/>
  <c r="H106" i="3" s="1"/>
  <c r="G105" i="3"/>
  <c r="G106" i="3" s="1"/>
  <c r="F105" i="3"/>
  <c r="E105" i="3"/>
  <c r="D105" i="3"/>
  <c r="L104" i="3"/>
  <c r="K104" i="3"/>
  <c r="J104" i="3"/>
  <c r="I104" i="3"/>
  <c r="H104" i="3"/>
  <c r="G104" i="3"/>
  <c r="F104" i="3"/>
  <c r="E104" i="3"/>
  <c r="D104" i="3"/>
  <c r="L103" i="3"/>
  <c r="K103" i="3"/>
  <c r="J103" i="3"/>
  <c r="I103" i="3"/>
  <c r="H103" i="3"/>
  <c r="G103" i="3"/>
  <c r="F103" i="3"/>
  <c r="E103" i="3"/>
  <c r="D103" i="3"/>
  <c r="G6" i="10"/>
  <c r="F6" i="10"/>
  <c r="E6" i="10"/>
  <c r="D6" i="10"/>
  <c r="C6" i="10"/>
  <c r="B2" i="10"/>
  <c r="D3" i="10"/>
  <c r="E3" i="10" s="1"/>
  <c r="F3" i="10" s="1"/>
  <c r="G3" i="10" s="1"/>
  <c r="J39" i="11" l="1"/>
  <c r="E33" i="11"/>
  <c r="J29" i="11" s="1"/>
  <c r="J31" i="11" s="1"/>
  <c r="J22" i="11" s="1"/>
  <c r="J23" i="11" s="1"/>
  <c r="J35" i="11" s="1"/>
  <c r="J41" i="11" s="1"/>
  <c r="E8" i="7"/>
  <c r="D8" i="7"/>
  <c r="C8" i="7"/>
  <c r="C10" i="7" s="1"/>
  <c r="D7" i="7"/>
  <c r="B2" i="7"/>
  <c r="B2" i="6"/>
  <c r="F3" i="7"/>
  <c r="G3" i="7" s="1"/>
  <c r="E3" i="7"/>
  <c r="D3" i="7"/>
  <c r="G6" i="14" l="1"/>
  <c r="H6" i="14" s="1"/>
  <c r="F6" i="14"/>
  <c r="E6" i="14"/>
  <c r="D6" i="14"/>
  <c r="C6" i="14"/>
  <c r="C9" i="7"/>
  <c r="D9" i="7"/>
  <c r="D10" i="7"/>
  <c r="L42" i="6"/>
  <c r="K42" i="6"/>
  <c r="J42" i="6"/>
  <c r="I42" i="6"/>
  <c r="H42" i="6"/>
  <c r="G42" i="6"/>
  <c r="F42" i="6"/>
  <c r="E42" i="6"/>
  <c r="D42" i="6"/>
  <c r="L41" i="6"/>
  <c r="K41" i="6"/>
  <c r="J41" i="6"/>
  <c r="I41" i="6"/>
  <c r="H41" i="6"/>
  <c r="G41" i="6"/>
  <c r="F41" i="6"/>
  <c r="E41" i="6"/>
  <c r="D41" i="6"/>
  <c r="L40" i="6"/>
  <c r="K40" i="6"/>
  <c r="J40" i="6"/>
  <c r="I40" i="6"/>
  <c r="H40" i="6"/>
  <c r="G40" i="6"/>
  <c r="F40" i="6"/>
  <c r="E40" i="6"/>
  <c r="D40" i="6"/>
  <c r="L37" i="6"/>
  <c r="K37" i="6"/>
  <c r="J37" i="6"/>
  <c r="I37" i="6"/>
  <c r="H37" i="6"/>
  <c r="G37" i="6"/>
  <c r="J36" i="6"/>
  <c r="I36" i="6"/>
  <c r="H36" i="6"/>
  <c r="G36" i="6"/>
  <c r="F36" i="6"/>
  <c r="E36" i="6"/>
  <c r="D36" i="6"/>
  <c r="G35" i="6"/>
  <c r="F35" i="6"/>
  <c r="E35" i="6"/>
  <c r="D35" i="6"/>
  <c r="L32" i="6"/>
  <c r="K32" i="6"/>
  <c r="J32" i="6"/>
  <c r="I32" i="6"/>
  <c r="H32" i="6"/>
  <c r="G32" i="6"/>
  <c r="F32" i="6"/>
  <c r="E32" i="6"/>
  <c r="D32" i="6"/>
  <c r="L31" i="6"/>
  <c r="K31" i="6"/>
  <c r="J31" i="6"/>
  <c r="I31" i="6"/>
  <c r="H31" i="6"/>
  <c r="G31" i="6"/>
  <c r="F31" i="6"/>
  <c r="E31" i="6"/>
  <c r="D31" i="6"/>
  <c r="L30" i="6"/>
  <c r="K30" i="6"/>
  <c r="J30" i="6"/>
  <c r="I30" i="6"/>
  <c r="H30" i="6"/>
  <c r="G30" i="6"/>
  <c r="F30" i="6"/>
  <c r="F37" i="6" s="1"/>
  <c r="E30" i="6"/>
  <c r="E37" i="6" s="1"/>
  <c r="D30" i="6"/>
  <c r="D37" i="6" s="1"/>
  <c r="L29" i="6"/>
  <c r="L36" i="6" s="1"/>
  <c r="K29" i="6"/>
  <c r="K36" i="6" s="1"/>
  <c r="J29" i="6"/>
  <c r="I29" i="6"/>
  <c r="H29" i="6"/>
  <c r="G29" i="6"/>
  <c r="F29" i="6"/>
  <c r="E29" i="6"/>
  <c r="D29" i="6"/>
  <c r="L28" i="6"/>
  <c r="L35" i="6" s="1"/>
  <c r="K28" i="6"/>
  <c r="K35" i="6" s="1"/>
  <c r="J28" i="6"/>
  <c r="J35" i="6" s="1"/>
  <c r="I28" i="6"/>
  <c r="I35" i="6" s="1"/>
  <c r="H28" i="6"/>
  <c r="H35" i="6" s="1"/>
  <c r="G28" i="6"/>
  <c r="F28" i="6"/>
  <c r="E28" i="6"/>
  <c r="D28" i="6"/>
  <c r="L26" i="6"/>
  <c r="K26" i="6"/>
  <c r="J26" i="6"/>
  <c r="I26" i="6"/>
  <c r="H26" i="6"/>
  <c r="G26" i="6"/>
  <c r="F26" i="6"/>
  <c r="E26" i="6"/>
  <c r="D26" i="6"/>
  <c r="F25" i="6"/>
  <c r="E25" i="6"/>
  <c r="D25" i="6"/>
  <c r="L24" i="6"/>
  <c r="K24" i="6"/>
  <c r="J24" i="6"/>
  <c r="I24" i="6"/>
  <c r="H24" i="6"/>
  <c r="G24" i="6"/>
  <c r="F24" i="6"/>
  <c r="E24" i="6"/>
  <c r="D24" i="6"/>
  <c r="L23" i="6"/>
  <c r="L25" i="6" s="1"/>
  <c r="K23" i="6"/>
  <c r="J23" i="6"/>
  <c r="I23" i="6"/>
  <c r="H23" i="6"/>
  <c r="H25" i="6" s="1"/>
  <c r="G23" i="6"/>
  <c r="G25" i="6" s="1"/>
  <c r="F23" i="6"/>
  <c r="E23" i="6"/>
  <c r="D23" i="6"/>
  <c r="L22" i="6"/>
  <c r="K22" i="6"/>
  <c r="J22" i="6"/>
  <c r="I22" i="6"/>
  <c r="H22" i="6"/>
  <c r="G22" i="6"/>
  <c r="F22" i="6"/>
  <c r="E22" i="6"/>
  <c r="D22" i="6"/>
  <c r="L20" i="6"/>
  <c r="G20" i="6"/>
  <c r="F20" i="6"/>
  <c r="E20" i="6"/>
  <c r="D20" i="6"/>
  <c r="L19" i="6"/>
  <c r="K19" i="6"/>
  <c r="J19" i="6"/>
  <c r="I19" i="6"/>
  <c r="H19" i="6"/>
  <c r="G19" i="6"/>
  <c r="F19" i="6"/>
  <c r="E19" i="6"/>
  <c r="D19" i="6"/>
  <c r="L18" i="6"/>
  <c r="K18" i="6"/>
  <c r="J18" i="6"/>
  <c r="I18" i="6"/>
  <c r="H18" i="6"/>
  <c r="G18" i="6"/>
  <c r="F18" i="6"/>
  <c r="E18" i="6"/>
  <c r="D18" i="6"/>
  <c r="L16" i="6"/>
  <c r="K16" i="6"/>
  <c r="J16" i="6"/>
  <c r="I16" i="6"/>
  <c r="H16" i="6"/>
  <c r="G16" i="6"/>
  <c r="F16" i="6"/>
  <c r="E16" i="6"/>
  <c r="D16" i="6"/>
  <c r="O16" i="6" s="1"/>
  <c r="L15" i="6"/>
  <c r="K15" i="6"/>
  <c r="J15" i="6"/>
  <c r="I15" i="6"/>
  <c r="H15" i="6"/>
  <c r="G15" i="6"/>
  <c r="F15" i="6"/>
  <c r="E15" i="6"/>
  <c r="D15" i="6"/>
  <c r="O15" i="6" s="1"/>
  <c r="L14" i="6"/>
  <c r="K20" i="6" s="1"/>
  <c r="K14" i="6"/>
  <c r="J20" i="6" s="1"/>
  <c r="J14" i="6"/>
  <c r="I20" i="6" s="1"/>
  <c r="I14" i="6"/>
  <c r="H20" i="6" s="1"/>
  <c r="H14" i="6"/>
  <c r="G14" i="6"/>
  <c r="F14" i="6"/>
  <c r="E14" i="6"/>
  <c r="D14" i="6"/>
  <c r="L13" i="6"/>
  <c r="K13" i="6"/>
  <c r="J13" i="6"/>
  <c r="I13" i="6"/>
  <c r="H13" i="6"/>
  <c r="G13" i="6"/>
  <c r="F13" i="6"/>
  <c r="E13" i="6"/>
  <c r="D13" i="6"/>
  <c r="L12" i="6"/>
  <c r="K12" i="6"/>
  <c r="J12" i="6"/>
  <c r="I12" i="6"/>
  <c r="H12" i="6"/>
  <c r="G12" i="6"/>
  <c r="F12" i="6"/>
  <c r="E12" i="6"/>
  <c r="D12" i="6"/>
  <c r="O12" i="6" s="1"/>
  <c r="C16" i="6"/>
  <c r="C15" i="6"/>
  <c r="C14" i="6"/>
  <c r="C13" i="6"/>
  <c r="C12" i="6"/>
  <c r="K38" i="6" l="1"/>
  <c r="L38" i="6"/>
  <c r="K25" i="6"/>
  <c r="H38" i="6"/>
  <c r="F38" i="6"/>
  <c r="D38" i="6"/>
  <c r="E38" i="6"/>
  <c r="I38" i="6"/>
  <c r="O14" i="6"/>
  <c r="O13" i="6"/>
  <c r="J25" i="6"/>
  <c r="G38" i="6"/>
  <c r="J38" i="6"/>
  <c r="I25" i="6"/>
  <c r="F8" i="7"/>
  <c r="G8" i="7" s="1"/>
  <c r="E10" i="7"/>
  <c r="F10" i="7" s="1"/>
  <c r="G10" i="7" s="1"/>
  <c r="E9" i="7"/>
  <c r="N14" i="6"/>
  <c r="N12" i="6"/>
  <c r="N13" i="6"/>
  <c r="N15" i="6"/>
  <c r="N16" i="6"/>
  <c r="F9" i="7" l="1"/>
  <c r="G9" i="7" s="1"/>
  <c r="C5" i="7" a="1"/>
  <c r="C42" i="6"/>
  <c r="C41" i="6"/>
  <c r="C40" i="6"/>
  <c r="C35" i="6"/>
  <c r="C32" i="6"/>
  <c r="C31" i="6"/>
  <c r="C29" i="6"/>
  <c r="C30" i="6"/>
  <c r="C37" i="6" s="1"/>
  <c r="C28" i="6"/>
  <c r="C26" i="6"/>
  <c r="C24" i="6"/>
  <c r="C23" i="6"/>
  <c r="C22" i="6"/>
  <c r="C20" i="6"/>
  <c r="C19" i="6"/>
  <c r="C18" i="6"/>
  <c r="C3" i="6"/>
  <c r="D3" i="6"/>
  <c r="E3" i="6"/>
  <c r="F3" i="6"/>
  <c r="G3" i="6"/>
  <c r="H3" i="6"/>
  <c r="I3" i="6"/>
  <c r="J3" i="6"/>
  <c r="K3" i="6"/>
  <c r="L3" i="6"/>
  <c r="L10" i="6"/>
  <c r="K10" i="6"/>
  <c r="J10" i="6"/>
  <c r="I10" i="6"/>
  <c r="H10" i="6"/>
  <c r="G10" i="6"/>
  <c r="F10" i="6"/>
  <c r="E10" i="6"/>
  <c r="L9" i="6"/>
  <c r="K9" i="6"/>
  <c r="J9" i="6"/>
  <c r="I9" i="6"/>
  <c r="H9" i="6"/>
  <c r="G9" i="6"/>
  <c r="F9" i="6"/>
  <c r="E9" i="6"/>
  <c r="L8" i="6"/>
  <c r="K8" i="6"/>
  <c r="J8" i="6"/>
  <c r="I8" i="6"/>
  <c r="H8" i="6"/>
  <c r="G8" i="6"/>
  <c r="F8" i="6"/>
  <c r="E8" i="6"/>
  <c r="L7" i="6"/>
  <c r="K7" i="6"/>
  <c r="J7" i="6"/>
  <c r="I7" i="6"/>
  <c r="H7" i="6"/>
  <c r="G7" i="6"/>
  <c r="F7" i="6"/>
  <c r="E7" i="6"/>
  <c r="L6" i="6"/>
  <c r="K6" i="6"/>
  <c r="J6" i="6"/>
  <c r="I6" i="6"/>
  <c r="H6" i="6"/>
  <c r="G6" i="6"/>
  <c r="F6" i="6"/>
  <c r="E6" i="6"/>
  <c r="L5" i="6"/>
  <c r="K5" i="6"/>
  <c r="J5" i="6"/>
  <c r="I5" i="6"/>
  <c r="H5" i="6"/>
  <c r="G5" i="6"/>
  <c r="F5" i="6"/>
  <c r="E5" i="6"/>
  <c r="D10" i="6"/>
  <c r="D9" i="6"/>
  <c r="D8" i="6"/>
  <c r="D7" i="6"/>
  <c r="D6" i="6"/>
  <c r="D5" i="6"/>
  <c r="N8" i="6" l="1"/>
  <c r="O8" i="6"/>
  <c r="O9" i="6"/>
  <c r="N9" i="6"/>
  <c r="C38" i="6"/>
  <c r="O40" i="6"/>
  <c r="N40" i="6"/>
  <c r="O29" i="6"/>
  <c r="N29" i="6"/>
  <c r="N30" i="6"/>
  <c r="O30" i="6"/>
  <c r="N31" i="6"/>
  <c r="O31" i="6"/>
  <c r="O10" i="6"/>
  <c r="N10" i="6"/>
  <c r="C36" i="6"/>
  <c r="O36" i="6" s="1"/>
  <c r="N5" i="6"/>
  <c r="O5" i="6"/>
  <c r="N6" i="6"/>
  <c r="O6" i="6"/>
  <c r="O41" i="6"/>
  <c r="N41" i="6"/>
  <c r="O42" i="6"/>
  <c r="N42" i="6"/>
  <c r="O28" i="6"/>
  <c r="N28" i="6"/>
  <c r="N18" i="6"/>
  <c r="O18" i="6"/>
  <c r="O23" i="6"/>
  <c r="N23" i="6"/>
  <c r="N7" i="6"/>
  <c r="O7" i="6"/>
  <c r="O19" i="6"/>
  <c r="N19" i="6"/>
  <c r="N26" i="6"/>
  <c r="O26" i="6"/>
  <c r="C5" i="7"/>
  <c r="C6" i="7" s="1"/>
  <c r="C5" i="10" s="1"/>
  <c r="G5" i="7"/>
  <c r="F5" i="7"/>
  <c r="E5" i="7"/>
  <c r="D5" i="7"/>
  <c r="N38" i="6"/>
  <c r="O38" i="6"/>
  <c r="N37" i="6"/>
  <c r="O37" i="6"/>
  <c r="N32" i="6"/>
  <c r="O32" i="6"/>
  <c r="N36" i="6"/>
  <c r="O35" i="6"/>
  <c r="N35" i="6"/>
  <c r="N24" i="6"/>
  <c r="O24" i="6"/>
  <c r="O22" i="6"/>
  <c r="N22" i="6"/>
  <c r="C25" i="6"/>
  <c r="N20" i="6"/>
  <c r="O20" i="6"/>
  <c r="L101" i="3"/>
  <c r="K101" i="3"/>
  <c r="J101" i="3"/>
  <c r="I101" i="3"/>
  <c r="H101" i="3"/>
  <c r="G101" i="3"/>
  <c r="F101" i="3"/>
  <c r="E101" i="3"/>
  <c r="D101" i="3"/>
  <c r="C101" i="3"/>
  <c r="L99" i="3"/>
  <c r="K99" i="3"/>
  <c r="J99" i="3"/>
  <c r="I99" i="3"/>
  <c r="H99" i="3"/>
  <c r="G99" i="3"/>
  <c r="F99" i="3"/>
  <c r="E99" i="3"/>
  <c r="D99" i="3"/>
  <c r="C99" i="3"/>
  <c r="L98" i="3"/>
  <c r="K98" i="3"/>
  <c r="J98" i="3"/>
  <c r="I98" i="3"/>
  <c r="H98" i="3"/>
  <c r="G98" i="3"/>
  <c r="F98" i="3"/>
  <c r="E98" i="3"/>
  <c r="D98" i="3"/>
  <c r="C98" i="3"/>
  <c r="L97" i="3"/>
  <c r="K97" i="3"/>
  <c r="J97" i="3"/>
  <c r="I97" i="3"/>
  <c r="H97" i="3"/>
  <c r="G97" i="3"/>
  <c r="F97" i="3"/>
  <c r="E97" i="3"/>
  <c r="D97" i="3"/>
  <c r="C97" i="3"/>
  <c r="L96" i="3"/>
  <c r="K96" i="3"/>
  <c r="J96" i="3"/>
  <c r="I96" i="3"/>
  <c r="H96" i="3"/>
  <c r="G96" i="3"/>
  <c r="F96" i="3"/>
  <c r="E96" i="3"/>
  <c r="D96" i="3"/>
  <c r="C96" i="3"/>
  <c r="L95" i="3"/>
  <c r="K95" i="3"/>
  <c r="J95" i="3"/>
  <c r="I95" i="3"/>
  <c r="H95" i="3"/>
  <c r="G95" i="3"/>
  <c r="F95" i="3"/>
  <c r="E95" i="3"/>
  <c r="D95" i="3"/>
  <c r="C95" i="3"/>
  <c r="L94" i="3"/>
  <c r="K94" i="3"/>
  <c r="J94" i="3"/>
  <c r="I94" i="3"/>
  <c r="H94" i="3"/>
  <c r="G94" i="3"/>
  <c r="F94" i="3"/>
  <c r="E94" i="3"/>
  <c r="D94" i="3"/>
  <c r="C94" i="3"/>
  <c r="L93" i="3"/>
  <c r="K93" i="3"/>
  <c r="J93" i="3"/>
  <c r="I93" i="3"/>
  <c r="H93" i="3"/>
  <c r="G93" i="3"/>
  <c r="F93" i="3"/>
  <c r="E93" i="3"/>
  <c r="D93" i="3"/>
  <c r="C93" i="3"/>
  <c r="L90" i="3"/>
  <c r="K90" i="3"/>
  <c r="J90" i="3"/>
  <c r="I90" i="3"/>
  <c r="H90" i="3"/>
  <c r="G90" i="3"/>
  <c r="F90" i="3"/>
  <c r="E90" i="3"/>
  <c r="D90" i="3"/>
  <c r="C90" i="3"/>
  <c r="L89" i="3"/>
  <c r="K89" i="3"/>
  <c r="J89" i="3"/>
  <c r="I89" i="3"/>
  <c r="H89" i="3"/>
  <c r="G89" i="3"/>
  <c r="F89" i="3"/>
  <c r="E89" i="3"/>
  <c r="D89" i="3"/>
  <c r="C89" i="3"/>
  <c r="L88" i="3"/>
  <c r="K88" i="3"/>
  <c r="J88" i="3"/>
  <c r="I88" i="3"/>
  <c r="H88" i="3"/>
  <c r="G88" i="3"/>
  <c r="F88" i="3"/>
  <c r="E88" i="3"/>
  <c r="D88" i="3"/>
  <c r="C88" i="3"/>
  <c r="L87" i="3"/>
  <c r="K87" i="3"/>
  <c r="J87" i="3"/>
  <c r="I87" i="3"/>
  <c r="H87" i="3"/>
  <c r="G87" i="3"/>
  <c r="F87" i="3"/>
  <c r="E87" i="3"/>
  <c r="D87" i="3"/>
  <c r="C87" i="3"/>
  <c r="L86" i="3"/>
  <c r="K86" i="3"/>
  <c r="J86" i="3"/>
  <c r="I86" i="3"/>
  <c r="H86" i="3"/>
  <c r="G86" i="3"/>
  <c r="F86" i="3"/>
  <c r="E86" i="3"/>
  <c r="D86" i="3"/>
  <c r="C86" i="3"/>
  <c r="L85" i="3"/>
  <c r="K85" i="3"/>
  <c r="J85" i="3"/>
  <c r="I85" i="3"/>
  <c r="H85" i="3"/>
  <c r="G85" i="3"/>
  <c r="F85" i="3"/>
  <c r="E85" i="3"/>
  <c r="D85" i="3"/>
  <c r="C85" i="3"/>
  <c r="L84" i="3"/>
  <c r="K84" i="3"/>
  <c r="J84" i="3"/>
  <c r="I84" i="3"/>
  <c r="H84" i="3"/>
  <c r="G84" i="3"/>
  <c r="F84" i="3"/>
  <c r="E84" i="3"/>
  <c r="D84" i="3"/>
  <c r="C84" i="3"/>
  <c r="L83" i="3"/>
  <c r="K83" i="3"/>
  <c r="J83" i="3"/>
  <c r="I83" i="3"/>
  <c r="H83" i="3"/>
  <c r="G83" i="3"/>
  <c r="F83" i="3"/>
  <c r="E83" i="3"/>
  <c r="D83" i="3"/>
  <c r="C83" i="3"/>
  <c r="L82" i="3"/>
  <c r="K82" i="3"/>
  <c r="J82" i="3"/>
  <c r="I82" i="3"/>
  <c r="H82" i="3"/>
  <c r="G82" i="3"/>
  <c r="F82" i="3"/>
  <c r="E82" i="3"/>
  <c r="D82" i="3"/>
  <c r="C82" i="3"/>
  <c r="L81" i="3"/>
  <c r="K81" i="3"/>
  <c r="J81" i="3"/>
  <c r="I81" i="3"/>
  <c r="H81" i="3"/>
  <c r="G81" i="3"/>
  <c r="F81" i="3"/>
  <c r="E81" i="3"/>
  <c r="D81" i="3"/>
  <c r="C81" i="3"/>
  <c r="L77" i="3"/>
  <c r="K77" i="3"/>
  <c r="J77" i="3"/>
  <c r="I77" i="3"/>
  <c r="H77" i="3"/>
  <c r="G77" i="3"/>
  <c r="F77" i="3"/>
  <c r="E77" i="3"/>
  <c r="D77" i="3"/>
  <c r="C77" i="3"/>
  <c r="L76" i="3"/>
  <c r="K76" i="3"/>
  <c r="J76" i="3"/>
  <c r="I76" i="3"/>
  <c r="H76" i="3"/>
  <c r="G76" i="3"/>
  <c r="F76" i="3"/>
  <c r="E76" i="3"/>
  <c r="D76" i="3"/>
  <c r="C76" i="3"/>
  <c r="L75" i="3"/>
  <c r="K75" i="3"/>
  <c r="J75" i="3"/>
  <c r="I75" i="3"/>
  <c r="H75" i="3"/>
  <c r="G75" i="3"/>
  <c r="F75" i="3"/>
  <c r="E75" i="3"/>
  <c r="D75" i="3"/>
  <c r="C75" i="3"/>
  <c r="L74" i="3"/>
  <c r="K74" i="3"/>
  <c r="J74" i="3"/>
  <c r="I74" i="3"/>
  <c r="H74" i="3"/>
  <c r="G74" i="3"/>
  <c r="F74" i="3"/>
  <c r="E74" i="3"/>
  <c r="D74" i="3"/>
  <c r="C74" i="3"/>
  <c r="L73" i="3"/>
  <c r="K73" i="3"/>
  <c r="J73" i="3"/>
  <c r="I73" i="3"/>
  <c r="H73" i="3"/>
  <c r="G73" i="3"/>
  <c r="F73" i="3"/>
  <c r="E73" i="3"/>
  <c r="D73" i="3"/>
  <c r="C73" i="3"/>
  <c r="L72" i="3"/>
  <c r="K72" i="3"/>
  <c r="J72" i="3"/>
  <c r="I72" i="3"/>
  <c r="H72" i="3"/>
  <c r="G72" i="3"/>
  <c r="F72" i="3"/>
  <c r="E72" i="3"/>
  <c r="D72" i="3"/>
  <c r="C72" i="3"/>
  <c r="L71" i="3"/>
  <c r="K71" i="3"/>
  <c r="J71" i="3"/>
  <c r="I71" i="3"/>
  <c r="H71" i="3"/>
  <c r="G71" i="3"/>
  <c r="F71" i="3"/>
  <c r="E71" i="3"/>
  <c r="D71" i="3"/>
  <c r="C71" i="3"/>
  <c r="L70" i="3"/>
  <c r="K70" i="3"/>
  <c r="J70" i="3"/>
  <c r="I70" i="3"/>
  <c r="H70" i="3"/>
  <c r="G70" i="3"/>
  <c r="F70" i="3"/>
  <c r="E70" i="3"/>
  <c r="D70" i="3"/>
  <c r="C70" i="3"/>
  <c r="L56" i="3"/>
  <c r="K56" i="3"/>
  <c r="J56" i="3"/>
  <c r="I56" i="3"/>
  <c r="H56" i="3"/>
  <c r="G56" i="3"/>
  <c r="F56" i="3"/>
  <c r="E56" i="3"/>
  <c r="D56" i="3"/>
  <c r="C56" i="3"/>
  <c r="C8" i="10" l="1"/>
  <c r="C12" i="10" s="1"/>
  <c r="C7" i="10"/>
  <c r="D6" i="7"/>
  <c r="O25" i="6"/>
  <c r="N25" i="6"/>
  <c r="K78" i="3"/>
  <c r="C78" i="3"/>
  <c r="D78" i="3"/>
  <c r="L78" i="3"/>
  <c r="F78" i="3"/>
  <c r="E78" i="3"/>
  <c r="H78" i="3"/>
  <c r="G78" i="3"/>
  <c r="I78" i="3"/>
  <c r="J78" i="3"/>
  <c r="C9" i="10" l="1"/>
  <c r="E6" i="7"/>
  <c r="D5" i="10"/>
  <c r="C10" i="10"/>
  <c r="C11" i="10" s="1"/>
  <c r="C13" i="10" s="1"/>
  <c r="C14" i="10" s="1"/>
  <c r="C5" i="14" s="1"/>
  <c r="C7" i="14" s="1"/>
  <c r="L61" i="3"/>
  <c r="K61" i="3"/>
  <c r="J61" i="3"/>
  <c r="I61" i="3"/>
  <c r="H61" i="3"/>
  <c r="G61" i="3"/>
  <c r="F61" i="3"/>
  <c r="E61" i="3"/>
  <c r="D61" i="3"/>
  <c r="C61" i="3"/>
  <c r="L60" i="3"/>
  <c r="K60" i="3"/>
  <c r="J60" i="3"/>
  <c r="I60" i="3"/>
  <c r="H60" i="3"/>
  <c r="G60" i="3"/>
  <c r="F60" i="3"/>
  <c r="E60" i="3"/>
  <c r="D60" i="3"/>
  <c r="C60" i="3"/>
  <c r="L59" i="3"/>
  <c r="K59" i="3"/>
  <c r="J59" i="3"/>
  <c r="I59" i="3"/>
  <c r="H59" i="3"/>
  <c r="G59" i="3"/>
  <c r="F59" i="3"/>
  <c r="E59" i="3"/>
  <c r="D59" i="3"/>
  <c r="C59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I53" i="3"/>
  <c r="H53" i="3"/>
  <c r="G53" i="3"/>
  <c r="F53" i="3"/>
  <c r="E53" i="3"/>
  <c r="D53" i="3"/>
  <c r="C53" i="3"/>
  <c r="L51" i="3"/>
  <c r="K51" i="3"/>
  <c r="J51" i="3"/>
  <c r="I51" i="3"/>
  <c r="H51" i="3"/>
  <c r="G51" i="3"/>
  <c r="F51" i="3"/>
  <c r="E51" i="3"/>
  <c r="D51" i="3"/>
  <c r="C51" i="3"/>
  <c r="L50" i="3"/>
  <c r="K50" i="3"/>
  <c r="J50" i="3"/>
  <c r="I50" i="3"/>
  <c r="H50" i="3"/>
  <c r="G50" i="3"/>
  <c r="F50" i="3"/>
  <c r="E50" i="3"/>
  <c r="D50" i="3"/>
  <c r="C50" i="3"/>
  <c r="L49" i="3"/>
  <c r="K49" i="3"/>
  <c r="J49" i="3"/>
  <c r="I49" i="3"/>
  <c r="H49" i="3"/>
  <c r="G49" i="3"/>
  <c r="F49" i="3"/>
  <c r="E49" i="3"/>
  <c r="D49" i="3"/>
  <c r="C49" i="3"/>
  <c r="L48" i="3"/>
  <c r="K48" i="3"/>
  <c r="J48" i="3"/>
  <c r="I48" i="3"/>
  <c r="H48" i="3"/>
  <c r="G48" i="3"/>
  <c r="F48" i="3"/>
  <c r="E48" i="3"/>
  <c r="D48" i="3"/>
  <c r="C48" i="3"/>
  <c r="L47" i="3"/>
  <c r="K47" i="3"/>
  <c r="J47" i="3"/>
  <c r="I47" i="3"/>
  <c r="H47" i="3"/>
  <c r="G47" i="3"/>
  <c r="F47" i="3"/>
  <c r="E47" i="3"/>
  <c r="D47" i="3"/>
  <c r="C47" i="3"/>
  <c r="F41" i="3"/>
  <c r="E41" i="3"/>
  <c r="D41" i="3"/>
  <c r="L36" i="3"/>
  <c r="L41" i="3" s="1"/>
  <c r="K36" i="3"/>
  <c r="K41" i="3" s="1"/>
  <c r="J36" i="3"/>
  <c r="J41" i="3" s="1"/>
  <c r="I36" i="3"/>
  <c r="I41" i="3" s="1"/>
  <c r="H36" i="3"/>
  <c r="H41" i="3" s="1"/>
  <c r="G36" i="3"/>
  <c r="G41" i="3" s="1"/>
  <c r="F36" i="3"/>
  <c r="E36" i="3"/>
  <c r="D36" i="3"/>
  <c r="C36" i="3"/>
  <c r="C41" i="3" s="1"/>
  <c r="M30" i="3"/>
  <c r="L30" i="3"/>
  <c r="K30" i="3"/>
  <c r="J30" i="3"/>
  <c r="I30" i="3"/>
  <c r="H30" i="3"/>
  <c r="G30" i="3"/>
  <c r="F30" i="3"/>
  <c r="E30" i="3"/>
  <c r="D30" i="3"/>
  <c r="C30" i="3"/>
  <c r="M24" i="3"/>
  <c r="M25" i="3" s="1"/>
  <c r="M21" i="3"/>
  <c r="M22" i="3" s="1"/>
  <c r="L24" i="3"/>
  <c r="K24" i="3"/>
  <c r="J24" i="3"/>
  <c r="I24" i="3"/>
  <c r="H24" i="3"/>
  <c r="G24" i="3"/>
  <c r="F24" i="3"/>
  <c r="E24" i="3"/>
  <c r="D24" i="3"/>
  <c r="C24" i="3"/>
  <c r="L21" i="3"/>
  <c r="L22" i="3" s="1"/>
  <c r="K21" i="3"/>
  <c r="K22" i="3" s="1"/>
  <c r="J21" i="3"/>
  <c r="J22" i="3" s="1"/>
  <c r="I21" i="3"/>
  <c r="I22" i="3" s="1"/>
  <c r="H21" i="3"/>
  <c r="G21" i="3"/>
  <c r="F21" i="3"/>
  <c r="E21" i="3"/>
  <c r="D21" i="3"/>
  <c r="C21" i="3"/>
  <c r="D15" i="3"/>
  <c r="L15" i="3"/>
  <c r="K15" i="3"/>
  <c r="J15" i="3"/>
  <c r="I15" i="3"/>
  <c r="H15" i="3"/>
  <c r="G15" i="3"/>
  <c r="F15" i="3"/>
  <c r="E15" i="3"/>
  <c r="C15" i="3"/>
  <c r="M9" i="3"/>
  <c r="L9" i="3"/>
  <c r="K9" i="3"/>
  <c r="J9" i="3"/>
  <c r="I9" i="3"/>
  <c r="H9" i="3"/>
  <c r="G9" i="3"/>
  <c r="F9" i="3"/>
  <c r="E9" i="3"/>
  <c r="D9" i="3"/>
  <c r="C9" i="3"/>
  <c r="C10" i="3" s="1"/>
  <c r="M6" i="3"/>
  <c r="L6" i="3"/>
  <c r="K6" i="3"/>
  <c r="J6" i="3"/>
  <c r="I6" i="3"/>
  <c r="H6" i="3"/>
  <c r="G6" i="3"/>
  <c r="F6" i="3"/>
  <c r="E6" i="3"/>
  <c r="D6" i="3"/>
  <c r="C6" i="3"/>
  <c r="C3" i="3"/>
  <c r="D3" i="3"/>
  <c r="E3" i="3"/>
  <c r="F3" i="3"/>
  <c r="G3" i="3"/>
  <c r="D8" i="10" l="1"/>
  <c r="D12" i="10" s="1"/>
  <c r="D7" i="10"/>
  <c r="F6" i="7"/>
  <c r="E5" i="10"/>
  <c r="C22" i="3"/>
  <c r="C25" i="3"/>
  <c r="C16" i="3"/>
  <c r="J7" i="3"/>
  <c r="M7" i="3"/>
  <c r="I7" i="3"/>
  <c r="E16" i="3"/>
  <c r="C62" i="3"/>
  <c r="D62" i="3"/>
  <c r="K7" i="3"/>
  <c r="H12" i="3"/>
  <c r="H18" i="3" s="1"/>
  <c r="L7" i="3"/>
  <c r="C12" i="3"/>
  <c r="C18" i="3" s="1"/>
  <c r="C19" i="3" s="1"/>
  <c r="E62" i="3"/>
  <c r="F62" i="3"/>
  <c r="I10" i="3"/>
  <c r="G62" i="3"/>
  <c r="D22" i="3"/>
  <c r="K10" i="3"/>
  <c r="L10" i="3"/>
  <c r="J25" i="3"/>
  <c r="F22" i="3"/>
  <c r="M10" i="3"/>
  <c r="D16" i="3"/>
  <c r="K25" i="3"/>
  <c r="H7" i="3"/>
  <c r="J10" i="3"/>
  <c r="H62" i="3"/>
  <c r="I25" i="3"/>
  <c r="E7" i="3"/>
  <c r="L25" i="3"/>
  <c r="E12" i="3"/>
  <c r="I62" i="3"/>
  <c r="I12" i="3"/>
  <c r="I13" i="3" s="1"/>
  <c r="G22" i="3"/>
  <c r="D10" i="3"/>
  <c r="K62" i="3"/>
  <c r="F25" i="3"/>
  <c r="D12" i="3"/>
  <c r="K12" i="3"/>
  <c r="K13" i="3" s="1"/>
  <c r="L12" i="3"/>
  <c r="C57" i="3"/>
  <c r="J62" i="3"/>
  <c r="H22" i="3"/>
  <c r="D25" i="3"/>
  <c r="D7" i="3"/>
  <c r="G25" i="3"/>
  <c r="E22" i="3"/>
  <c r="G7" i="3"/>
  <c r="M12" i="3"/>
  <c r="D57" i="3"/>
  <c r="J12" i="3"/>
  <c r="J13" i="3" s="1"/>
  <c r="K16" i="3"/>
  <c r="E10" i="3"/>
  <c r="L62" i="3"/>
  <c r="L16" i="3"/>
  <c r="E25" i="3"/>
  <c r="H10" i="3"/>
  <c r="H25" i="3"/>
  <c r="I57" i="3"/>
  <c r="J57" i="3"/>
  <c r="M36" i="3"/>
  <c r="M41" i="3" s="1"/>
  <c r="E57" i="3"/>
  <c r="H57" i="3"/>
  <c r="H64" i="3" s="1"/>
  <c r="H66" i="3" s="1"/>
  <c r="I16" i="3"/>
  <c r="L57" i="3"/>
  <c r="F16" i="3"/>
  <c r="G16" i="3"/>
  <c r="G64" i="3"/>
  <c r="G66" i="3" s="1"/>
  <c r="H16" i="3"/>
  <c r="G12" i="3"/>
  <c r="F7" i="3"/>
  <c r="F57" i="3"/>
  <c r="G57" i="3"/>
  <c r="F12" i="3"/>
  <c r="J16" i="3"/>
  <c r="F10" i="3"/>
  <c r="K57" i="3"/>
  <c r="G10" i="3"/>
  <c r="D9" i="10" l="1"/>
  <c r="E8" i="10"/>
  <c r="E12" i="10" s="1"/>
  <c r="E7" i="10"/>
  <c r="G6" i="7"/>
  <c r="G5" i="10" s="1"/>
  <c r="F5" i="10"/>
  <c r="H13" i="3"/>
  <c r="E64" i="3"/>
  <c r="E66" i="3" s="1"/>
  <c r="C27" i="3"/>
  <c r="C33" i="3" s="1"/>
  <c r="K64" i="3"/>
  <c r="K66" i="3" s="1"/>
  <c r="D64" i="3"/>
  <c r="D66" i="3" s="1"/>
  <c r="F64" i="3"/>
  <c r="F66" i="3" s="1"/>
  <c r="C64" i="3"/>
  <c r="C66" i="3" s="1"/>
  <c r="K18" i="3"/>
  <c r="C13" i="3"/>
  <c r="L64" i="3"/>
  <c r="L66" i="3" s="1"/>
  <c r="I64" i="3"/>
  <c r="I66" i="3" s="1"/>
  <c r="I18" i="3"/>
  <c r="I27" i="3" s="1"/>
  <c r="J18" i="3"/>
  <c r="J27" i="3" s="1"/>
  <c r="M18" i="3"/>
  <c r="M13" i="3"/>
  <c r="J64" i="3"/>
  <c r="J66" i="3" s="1"/>
  <c r="L18" i="3"/>
  <c r="L13" i="3"/>
  <c r="D18" i="3"/>
  <c r="D13" i="3"/>
  <c r="E13" i="3"/>
  <c r="E18" i="3"/>
  <c r="K27" i="3"/>
  <c r="K19" i="3"/>
  <c r="H27" i="3"/>
  <c r="H19" i="3"/>
  <c r="C31" i="3"/>
  <c r="C28" i="3"/>
  <c r="F13" i="3"/>
  <c r="F18" i="3"/>
  <c r="G18" i="3"/>
  <c r="G13" i="3"/>
  <c r="E9" i="10" l="1"/>
  <c r="E10" i="10" s="1"/>
  <c r="F7" i="10"/>
  <c r="F8" i="10"/>
  <c r="F12" i="10" s="1"/>
  <c r="G7" i="10"/>
  <c r="G8" i="10"/>
  <c r="G12" i="10" s="1"/>
  <c r="D10" i="10"/>
  <c r="D11" i="10" s="1"/>
  <c r="I19" i="3"/>
  <c r="J19" i="3"/>
  <c r="D19" i="3"/>
  <c r="D27" i="3"/>
  <c r="M19" i="3"/>
  <c r="M27" i="3"/>
  <c r="E19" i="3"/>
  <c r="E27" i="3"/>
  <c r="L19" i="3"/>
  <c r="L27" i="3"/>
  <c r="J33" i="3"/>
  <c r="J28" i="3"/>
  <c r="J31" i="3"/>
  <c r="G27" i="3"/>
  <c r="G19" i="3"/>
  <c r="F27" i="3"/>
  <c r="F19" i="3"/>
  <c r="I31" i="3"/>
  <c r="I28" i="3"/>
  <c r="I33" i="3"/>
  <c r="H33" i="3"/>
  <c r="H28" i="3"/>
  <c r="H31" i="3"/>
  <c r="C34" i="3"/>
  <c r="C38" i="3"/>
  <c r="K33" i="3"/>
  <c r="K28" i="3"/>
  <c r="K31" i="3"/>
  <c r="E11" i="10" l="1"/>
  <c r="E13" i="10" s="1"/>
  <c r="D13" i="10"/>
  <c r="D14" i="10" s="1"/>
  <c r="D5" i="14" s="1"/>
  <c r="D7" i="14" s="1"/>
  <c r="G9" i="10"/>
  <c r="F9" i="10"/>
  <c r="L28" i="3"/>
  <c r="L33" i="3"/>
  <c r="L31" i="3"/>
  <c r="E33" i="3"/>
  <c r="E28" i="3"/>
  <c r="E31" i="3"/>
  <c r="M33" i="3"/>
  <c r="M31" i="3"/>
  <c r="M28" i="3"/>
  <c r="D28" i="3"/>
  <c r="D31" i="3"/>
  <c r="D33" i="3"/>
  <c r="K34" i="3"/>
  <c r="K38" i="3"/>
  <c r="C42" i="3"/>
  <c r="C44" i="3" s="1"/>
  <c r="F33" i="3"/>
  <c r="F28" i="3"/>
  <c r="F31" i="3"/>
  <c r="H34" i="3"/>
  <c r="H38" i="3"/>
  <c r="G28" i="3"/>
  <c r="G33" i="3"/>
  <c r="G31" i="3"/>
  <c r="I34" i="3"/>
  <c r="I38" i="3"/>
  <c r="J34" i="3"/>
  <c r="J38" i="3"/>
  <c r="E14" i="10" l="1"/>
  <c r="E5" i="14" s="1"/>
  <c r="E7" i="14" s="1"/>
  <c r="F10" i="10"/>
  <c r="F11" i="10" s="1"/>
  <c r="G10" i="10"/>
  <c r="G11" i="10" s="1"/>
  <c r="E34" i="3"/>
  <c r="E38" i="3"/>
  <c r="D38" i="3"/>
  <c r="D34" i="3"/>
  <c r="M38" i="3"/>
  <c r="M34" i="3"/>
  <c r="L34" i="3"/>
  <c r="L38" i="3"/>
  <c r="H39" i="3"/>
  <c r="H42" i="3"/>
  <c r="H44" i="3" s="1"/>
  <c r="I42" i="3"/>
  <c r="I44" i="3" s="1"/>
  <c r="I39" i="3"/>
  <c r="F34" i="3"/>
  <c r="F38" i="3"/>
  <c r="J39" i="3"/>
  <c r="J42" i="3"/>
  <c r="J44" i="3" s="1"/>
  <c r="G34" i="3"/>
  <c r="G38" i="3"/>
  <c r="K39" i="3"/>
  <c r="K42" i="3"/>
  <c r="K44" i="3" s="1"/>
  <c r="G13" i="10" l="1"/>
  <c r="G14" i="10"/>
  <c r="F13" i="10"/>
  <c r="F14" i="10" s="1"/>
  <c r="F5" i="14" s="1"/>
  <c r="F7" i="14" s="1"/>
  <c r="E42" i="3"/>
  <c r="E44" i="3" s="1"/>
  <c r="E39" i="3"/>
  <c r="L42" i="3"/>
  <c r="L44" i="3" s="1"/>
  <c r="L39" i="3"/>
  <c r="M39" i="3"/>
  <c r="M42" i="3"/>
  <c r="M44" i="3" s="1"/>
  <c r="D39" i="3"/>
  <c r="D42" i="3"/>
  <c r="D44" i="3" s="1"/>
  <c r="F39" i="3"/>
  <c r="F42" i="3"/>
  <c r="F44" i="3"/>
  <c r="G39" i="3"/>
  <c r="G42" i="3"/>
  <c r="G44" i="3" s="1"/>
  <c r="C11" i="14" l="1"/>
  <c r="C14" i="14" s="1"/>
  <c r="G5" i="14"/>
  <c r="G7" i="14" s="1"/>
  <c r="C18" i="14" s="1"/>
  <c r="L3" i="3"/>
  <c r="K3" i="3"/>
  <c r="J3" i="3"/>
  <c r="I3" i="3"/>
  <c r="H3" i="3"/>
  <c r="H5" i="14" l="1"/>
  <c r="H7" i="14" s="1"/>
  <c r="C19" i="14" s="1"/>
  <c r="C20" i="14" s="1"/>
  <c r="C32" i="14" s="1"/>
  <c r="B2" i="3"/>
  <c r="B6" i="1"/>
  <c r="E1" i="1"/>
  <c r="C23" i="14" l="1"/>
  <c r="C25" i="14" s="1"/>
  <c r="C27" i="14" s="1"/>
</calcChain>
</file>

<file path=xl/sharedStrings.xml><?xml version="1.0" encoding="utf-8"?>
<sst xmlns="http://schemas.openxmlformats.org/spreadsheetml/2006/main" count="403" uniqueCount="286">
  <si>
    <t>COMPANY NAME</t>
  </si>
  <si>
    <t>MARUTI SUZUKI INDIA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</si>
  <si>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</si>
  <si>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</si>
  <si>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</si>
  <si>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</si>
  <si>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</si>
  <si>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</si>
  <si>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</si>
  <si>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</si>
  <si>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</si>
  <si>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</si>
  <si>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</si>
  <si>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</si>
  <si>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</si>
  <si>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</si>
  <si>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</si>
  <si>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</si>
  <si>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</si>
  <si>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</si>
  <si>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</si>
  <si>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</si>
  <si>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</si>
  <si>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</si>
  <si>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</si>
  <si>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</si>
  <si>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</si>
  <si>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</si>
  <si>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</si>
  <si>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</si>
  <si>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</si>
  <si>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</si>
  <si>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</si>
  <si>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</si>
  <si>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</si>
  <si>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</si>
  <si>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</si>
  <si>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</si>
  <si>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</si>
  <si>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</si>
  <si>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</si>
  <si>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</si>
  <si>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</si>
  <si>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</si>
  <si>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</si>
  <si>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</si>
  <si>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</si>
  <si>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</si>
  <si>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</si>
  <si>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</si>
  <si>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</si>
  <si>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</si>
  <si>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</si>
  <si>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</si>
  <si>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 xml:space="preserve">Years </t>
  </si>
  <si>
    <t xml:space="preserve">LTM </t>
  </si>
  <si>
    <t>#</t>
  </si>
  <si>
    <t>Sales Growth</t>
  </si>
  <si>
    <t>COGS</t>
  </si>
  <si>
    <t>COGS % Sales</t>
  </si>
  <si>
    <t>Gross Profit</t>
  </si>
  <si>
    <t>Selling &amp; General Expenses</t>
  </si>
  <si>
    <t>S&amp;G Exp % Sales</t>
  </si>
  <si>
    <t>EBITDA</t>
  </si>
  <si>
    <t>EBITDA Margins</t>
  </si>
  <si>
    <t>Interest % Sales</t>
  </si>
  <si>
    <t>Earnings Before Tax</t>
  </si>
  <si>
    <t>EBT % Sales</t>
  </si>
  <si>
    <t>Effective Tax Rate</t>
  </si>
  <si>
    <t>Income Statement</t>
  </si>
  <si>
    <t>Gross Margins</t>
  </si>
  <si>
    <t xml:space="preserve">Depreciation % Sales </t>
  </si>
  <si>
    <t>Net Profit</t>
  </si>
  <si>
    <t>Net Margins</t>
  </si>
  <si>
    <t>Earnings per Share</t>
  </si>
  <si>
    <t>EPS Growth %</t>
  </si>
  <si>
    <t>Dividend per Share</t>
  </si>
  <si>
    <t>Dividend payout ratio</t>
  </si>
  <si>
    <t>Retained Earnings</t>
  </si>
  <si>
    <t>-</t>
  </si>
  <si>
    <t>All Figures in Crores (₹)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</si>
  <si>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</si>
  <si>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</si>
  <si>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</si>
  <si>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</si>
  <si>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</si>
  <si>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</si>
  <si>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</si>
  <si>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Cash Flow Statement</t>
  </si>
  <si>
    <t>Operating Activities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</si>
  <si>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</si>
  <si>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</si>
  <si>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</si>
  <si>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</si>
  <si>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</si>
  <si>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</si>
  <si>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Investing Activities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</si>
  <si>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</si>
  <si>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</si>
  <si>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</si>
  <si>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</si>
  <si>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</si>
  <si>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</si>
  <si>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</si>
  <si>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</si>
  <si>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</si>
  <si>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Financing Activities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</si>
  <si>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</si>
  <si>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</si>
  <si>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</si>
  <si>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</si>
  <si>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</si>
  <si>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</si>
  <si>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</si>
  <si>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</si>
  <si>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</si>
  <si>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No of Equity Shares</t>
  </si>
  <si>
    <t>SalesGrowth</t>
  </si>
  <si>
    <t>GrossMargin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</si>
  <si>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</si>
  <si>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</si>
  <si>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</si>
  <si>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</si>
  <si>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</si>
  <si>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</si>
  <si>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</si>
  <si>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</si>
  <si>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</si>
  <si>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</si>
  <si>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</si>
  <si>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</si>
  <si>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</si>
  <si>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</si>
  <si>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</si>
  <si>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</si>
  <si>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</si>
  <si>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</si>
  <si>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</si>
  <si>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</si>
  <si>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</si>
  <si>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</si>
  <si>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(in days)</t>
  </si>
  <si>
    <t>Debtor Days</t>
  </si>
  <si>
    <t>Payable Days</t>
  </si>
  <si>
    <t>Inventory Days</t>
  </si>
  <si>
    <t>Cash Conversion Cycle</t>
  </si>
  <si>
    <t>CFO/Sales</t>
  </si>
  <si>
    <t>CFO/Total Assets</t>
  </si>
  <si>
    <t>CFO/Total Debt</t>
  </si>
  <si>
    <t>Trend</t>
  </si>
  <si>
    <t xml:space="preserve">Mean </t>
  </si>
  <si>
    <t>Median</t>
  </si>
  <si>
    <t>Parameter</t>
  </si>
  <si>
    <t>Value</t>
  </si>
  <si>
    <t>Valuation Date</t>
  </si>
  <si>
    <t xml:space="preserve">Projection Period </t>
  </si>
  <si>
    <t>Revenue Growth %</t>
  </si>
  <si>
    <t>Rationale</t>
  </si>
  <si>
    <t>Terminal Growth Rate</t>
  </si>
  <si>
    <t xml:space="preserve">Risk-Free Rate </t>
  </si>
  <si>
    <t>Equity Risk Premium</t>
  </si>
  <si>
    <t>Tax Rate</t>
  </si>
  <si>
    <t>Equity Risk Premium (ERP)</t>
  </si>
  <si>
    <t>Chosen Scenario:</t>
  </si>
  <si>
    <t xml:space="preserve">Base Case </t>
  </si>
  <si>
    <t>Best Case</t>
  </si>
  <si>
    <t>Worst Case</t>
  </si>
  <si>
    <t>Based on Average of last three Quarters</t>
  </si>
  <si>
    <t>Annual Growth Tapering</t>
  </si>
  <si>
    <t>Based on Shortage of crude oil supplies amid war (For the next 2 years only from FY27)</t>
  </si>
  <si>
    <t xml:space="preserve">Revenue </t>
  </si>
  <si>
    <t>EBIDTA Margin %</t>
  </si>
  <si>
    <t xml:space="preserve">EBIDTA </t>
  </si>
  <si>
    <t>Less: Depreciation</t>
  </si>
  <si>
    <t>EBIT</t>
  </si>
  <si>
    <t>Less: Tax</t>
  </si>
  <si>
    <t>NOPAT</t>
  </si>
  <si>
    <t>Add: Depreciation</t>
  </si>
  <si>
    <t xml:space="preserve">Free Cash Flow to Firm </t>
  </si>
  <si>
    <t>Less: Reinvestment</t>
  </si>
  <si>
    <t>Investments % NOPAT</t>
  </si>
  <si>
    <t>Key Assumptions &amp; Methodololy</t>
  </si>
  <si>
    <t>Weighted Average Cost of Capital</t>
  </si>
  <si>
    <t>All figures are in INR unless stated otherwise</t>
  </si>
  <si>
    <t>Peer Comps</t>
  </si>
  <si>
    <t>Debt/</t>
  </si>
  <si>
    <t>Levered</t>
  </si>
  <si>
    <t>Unlevered</t>
  </si>
  <si>
    <t>Name of the Comp</t>
  </si>
  <si>
    <t>Country</t>
  </si>
  <si>
    <t>Total Debt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</si>
  <si>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</si>
  <si>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</si>
  <si>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Equity</t>
  </si>
  <si>
    <t>Capital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</si>
  <si>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</si>
  <si>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</si>
  <si>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</si>
  <si>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>Average</t>
  </si>
  <si>
    <t>Cost of Debt</t>
  </si>
  <si>
    <t>Cost of Equity</t>
  </si>
  <si>
    <t>Pre-Tax Cost of Debt</t>
  </si>
  <si>
    <t>Risk Free Rate</t>
  </si>
  <si>
    <t>Post-Tax Cost of Debt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</si>
  <si>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</si>
  <si>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</si>
  <si>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>Levered Beta</t>
  </si>
  <si>
    <t>Current</t>
  </si>
  <si>
    <t>Target</t>
  </si>
  <si>
    <t>Comps Median Unlevered Beta</t>
  </si>
  <si>
    <t>Target Debt/Equity</t>
  </si>
  <si>
    <t>Market Capitalisation</t>
  </si>
  <si>
    <t>Total Capital</t>
  </si>
  <si>
    <t>Debt/Equity</t>
  </si>
  <si>
    <t>Notes:</t>
  </si>
  <si>
    <t>1. Tax Rate considered as Marginal Tax Rate for the country</t>
  </si>
  <si>
    <t>Equity Weight</t>
  </si>
  <si>
    <t>2. Levered beta is based on 5 year monthly data</t>
  </si>
  <si>
    <t>3. Unlevered Beta = Levered Beta/(1+(1-Tax Rate)*Debt/Equity)</t>
  </si>
  <si>
    <t>4. Levered Beta = Unlevered Beta*(1+(1-Tax Rate)*Debt/Equity)</t>
  </si>
  <si>
    <t>Debt Weight</t>
  </si>
  <si>
    <t>WACC</t>
  </si>
  <si>
    <t>S.No.</t>
  </si>
  <si>
    <t>Name</t>
  </si>
  <si>
    <t>Debt / Eq</t>
  </si>
  <si>
    <t>Maruti Suzuki</t>
  </si>
  <si>
    <t>M &amp; M</t>
  </si>
  <si>
    <t>Hyundai Motor I</t>
  </si>
  <si>
    <t>Tata Motors PVeh</t>
  </si>
  <si>
    <t>CMP Rs.</t>
  </si>
  <si>
    <t>Mar Cap Rs.Cr.</t>
  </si>
  <si>
    <t>Debt Rs.Cr.</t>
  </si>
  <si>
    <t>Force Motors</t>
  </si>
  <si>
    <t>South Korea</t>
  </si>
  <si>
    <t>Based on 10 year Indian Government Bond Yield</t>
  </si>
  <si>
    <t>Expected return over risk-free rate on equity investors</t>
  </si>
  <si>
    <t>Conservative long-term growth considering India's GDP &amp; Automobile sector potential</t>
  </si>
  <si>
    <t>Discount Factor</t>
  </si>
  <si>
    <t>PV of FCF (in Crores)</t>
  </si>
  <si>
    <t>Terminal Value Calculation</t>
  </si>
  <si>
    <t>Terminal Year FCF (FY30)</t>
  </si>
  <si>
    <t>Terminal Value</t>
  </si>
  <si>
    <t>DCF Valuation Summary</t>
  </si>
  <si>
    <t>Sum of PV of FCF (FY26-FY30)</t>
  </si>
  <si>
    <t>PV of Terminal Value</t>
  </si>
  <si>
    <t>Enterprice Value</t>
  </si>
  <si>
    <t>Less: Net Debt</t>
  </si>
  <si>
    <t>Add: Cash &amp; Investments</t>
  </si>
  <si>
    <t>Equity Value</t>
  </si>
  <si>
    <t>Shares Outstanding</t>
  </si>
  <si>
    <t>Fair Value per Share</t>
  </si>
  <si>
    <t>Current Market Price</t>
  </si>
  <si>
    <t>Upside/Downside</t>
  </si>
  <si>
    <t>Cash Rs.Cr.</t>
  </si>
  <si>
    <t>Investments Rs.Cr.</t>
  </si>
  <si>
    <t>Sensitivity Analysis</t>
  </si>
  <si>
    <t>5 Years</t>
  </si>
  <si>
    <t>Particulars</t>
  </si>
  <si>
    <t>Face value Rs.</t>
  </si>
  <si>
    <t>Sales Rs.Cr.</t>
  </si>
  <si>
    <t>EV / EBITDA</t>
  </si>
  <si>
    <t>EV Rs.Cr.</t>
  </si>
  <si>
    <t>Company Name</t>
  </si>
  <si>
    <t>Shares</t>
  </si>
  <si>
    <t>Market Cap</t>
  </si>
  <si>
    <t>Debt</t>
  </si>
  <si>
    <t>Cash &amp; Equivalents</t>
  </si>
  <si>
    <t>EV</t>
  </si>
  <si>
    <t>Earnings</t>
  </si>
  <si>
    <t>EV/Sales</t>
  </si>
  <si>
    <t>EV/EBITDA</t>
  </si>
  <si>
    <t>Price (₹/Share)</t>
  </si>
  <si>
    <t>Market Data</t>
  </si>
  <si>
    <t>Financial Data</t>
  </si>
  <si>
    <t>Valuation</t>
  </si>
  <si>
    <t>P/E</t>
  </si>
  <si>
    <t>(in Crores)</t>
  </si>
  <si>
    <r>
      <t xml:space="preserve">Revenue </t>
    </r>
    <r>
      <rPr>
        <i/>
        <sz val="11"/>
        <color theme="1"/>
        <rFont val="Calibri"/>
        <family val="2"/>
      </rPr>
      <t>(in Crores)</t>
    </r>
  </si>
  <si>
    <r>
      <t xml:space="preserve">Free Cash Flow </t>
    </r>
    <r>
      <rPr>
        <i/>
        <sz val="11"/>
        <color theme="1"/>
        <rFont val="Calibri"/>
        <family val="2"/>
      </rPr>
      <t>(in Crores)</t>
    </r>
  </si>
  <si>
    <t>N/P</t>
  </si>
  <si>
    <t>Metric</t>
  </si>
  <si>
    <t>Comps</t>
  </si>
  <si>
    <t>Net Debt</t>
  </si>
  <si>
    <t>Share Price</t>
  </si>
  <si>
    <t>PE Ratio</t>
  </si>
  <si>
    <t>Comparable Company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</si>
</sst>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[$-409]mmm/yy;@"/>
    <numFmt numFmtId="167" formatCode="#,##0.0"/>
    <numFmt numFmtId="168" formatCode="&quot;₹&quot;\ #,##0.0;\(&quot;₹&quot;\ #,##0.0\);\-"/>
    <numFmt numFmtId="169" formatCode="#,##0.0;\(#,##0.0\)"/>
    <numFmt numFmtId="170" formatCode="0.00&quot;x&quot;"/>
    <numFmt numFmtId="171" formatCode="0.0"/>
    <numFmt numFmtId="172" formatCode="0&quot;E&quot;"/>
    <numFmt numFmtId="173" formatCode=";;;"/>
    <numFmt numFmtId="174" formatCode="0.0%"/>
    <numFmt numFmtId="175" formatCode="#,##0.0;\-#,##0.0"/>
    <numFmt numFmtId="176" formatCode="[$-14009]dd/mm/yyyy;@"/>
    <numFmt numFmtId="177" formatCode="0.00\x"/>
    <numFmt numFmtId="178" formatCode="0.0\x"/>
  </numFmts>
  <fonts count="2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i/>
      <sz val="10"/>
      <name val="Calibri"/>
      <family val="2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vertAlign val="superscript"/>
      <sz val="11"/>
      <color theme="1"/>
      <name val="Calibri"/>
      <family val="2"/>
    </font>
    <font>
      <sz val="11"/>
      <color rgb="FF3333FF"/>
      <name val="calibri"/>
      <family val="2"/>
    </font>
    <font>
      <i/>
      <sz val="9"/>
      <color theme="1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</font>
    <font>
      <b/>
      <sz val="14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206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152">
    <xf numFmtId="0" fontId="0" fillId="0" borderId="0" xfId="0"/>
    <xf numFmtId="43" fontId="6" fillId="0" borderId="0" xfId="1" applyFont="1" applyBorder="1"/>
    <xf numFmtId="43" fontId="0" fillId="0" borderId="0" xfId="1" applyFont="1" applyBorder="1"/>
    <xf numFmtId="164" fontId="8" fillId="3" borderId="0" xfId="1" applyNumberFormat="1" applyFont="1" applyFill="1" applyBorder="1"/>
    <xf numFmtId="164" fontId="8" fillId="3" borderId="0" xfId="0" applyNumberFormat="1" applyFont="1" applyFill="1" applyBorder="1" applyAlignment="1">
      <alignment horizontal="center"/>
    </xf>
    <xf numFmtId="164" fontId="9" fillId="0" borderId="0" xfId="1" applyNumberFormat="1" applyFont="1" applyFill="1" applyBorder="1"/>
    <xf numFmtId="43" fontId="5" fillId="0" borderId="0" xfId="1" applyFont="1" applyBorder="1"/>
    <xf numFmtId="165" fontId="0" fillId="0" borderId="0" xfId="1" applyNumberFormat="1" applyFont="1" applyBorder="1"/>
    <xf numFmtId="0" fontId="2" fillId="4" borderId="0" xfId="0" applyFont="1" applyFill="1"/>
    <xf numFmtId="166" fontId="2" fillId="4" borderId="0" xfId="0" applyNumberFormat="1" applyFont="1" applyFill="1" applyAlignment="1">
      <alignment horizontal="right"/>
    </xf>
    <xf numFmtId="0" fontId="10" fillId="0" borderId="0" xfId="0" applyFont="1"/>
    <xf numFmtId="0" fontId="11" fillId="0" borderId="0" xfId="0" applyFont="1"/>
    <xf numFmtId="0" fontId="0" fillId="0" borderId="0" xfId="0" applyFill="1"/>
    <xf numFmtId="166" fontId="2" fillId="0" borderId="0" xfId="0" applyNumberFormat="1" applyFont="1" applyFill="1" applyAlignment="1">
      <alignment horizontal="right"/>
    </xf>
    <xf numFmtId="0" fontId="3" fillId="5" borderId="0" xfId="0" applyFont="1" applyFill="1"/>
    <xf numFmtId="0" fontId="11" fillId="0" borderId="0" xfId="0" applyFont="1" applyAlignment="1">
      <alignment horizontal="right"/>
    </xf>
    <xf numFmtId="10" fontId="11" fillId="0" borderId="0" xfId="0" applyNumberFormat="1" applyFont="1"/>
    <xf numFmtId="167" fontId="0" fillId="0" borderId="0" xfId="0" applyNumberFormat="1"/>
    <xf numFmtId="10" fontId="0" fillId="0" borderId="0" xfId="2" applyNumberFormat="1" applyFont="1"/>
    <xf numFmtId="0" fontId="3" fillId="0" borderId="0" xfId="0" applyFont="1"/>
    <xf numFmtId="0" fontId="0" fillId="5" borderId="0" xfId="0" applyFill="1"/>
    <xf numFmtId="167" fontId="3" fillId="0" borderId="0" xfId="0" applyNumberFormat="1" applyFont="1"/>
    <xf numFmtId="0" fontId="0" fillId="0" borderId="0" xfId="0" applyAlignment="1">
      <alignment horizontal="right"/>
    </xf>
    <xf numFmtId="0" fontId="0" fillId="6" borderId="0" xfId="0" applyFill="1"/>
    <xf numFmtId="17" fontId="13" fillId="6" borderId="1" xfId="0" applyNumberFormat="1" applyFont="1" applyFill="1" applyBorder="1" applyAlignment="1">
      <alignment horizontal="right" vertical="center" wrapText="1"/>
    </xf>
    <xf numFmtId="0" fontId="14" fillId="7" borderId="2" xfId="0" applyFont="1" applyFill="1" applyBorder="1" applyAlignment="1">
      <alignment horizontal="left" vertical="center" indent="2"/>
    </xf>
    <xf numFmtId="3" fontId="14" fillId="7" borderId="2" xfId="0" applyNumberFormat="1" applyFont="1" applyFill="1" applyBorder="1" applyAlignment="1">
      <alignment horizontal="right" vertical="center" wrapText="1"/>
    </xf>
    <xf numFmtId="0" fontId="14" fillId="7" borderId="2" xfId="0" applyFont="1" applyFill="1" applyBorder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6" fillId="7" borderId="0" xfId="0" applyFont="1" applyFill="1" applyAlignment="1">
      <alignment horizontal="right" vertical="center" wrapText="1"/>
    </xf>
    <xf numFmtId="3" fontId="16" fillId="7" borderId="0" xfId="0" applyNumberFormat="1" applyFont="1" applyFill="1" applyAlignment="1">
      <alignment horizontal="right" vertical="center" wrapText="1"/>
    </xf>
    <xf numFmtId="0" fontId="14" fillId="7" borderId="2" xfId="0" applyFont="1" applyFill="1" applyBorder="1" applyAlignment="1">
      <alignment horizontal="right" vertical="center" wrapText="1"/>
    </xf>
    <xf numFmtId="0" fontId="14" fillId="6" borderId="2" xfId="0" applyFont="1" applyFill="1" applyBorder="1" applyAlignment="1">
      <alignment horizontal="left" vertical="center" indent="2"/>
    </xf>
    <xf numFmtId="3" fontId="14" fillId="6" borderId="2" xfId="0" applyNumberFormat="1" applyFont="1" applyFill="1" applyBorder="1" applyAlignment="1">
      <alignment horizontal="right" vertical="center" wrapText="1"/>
    </xf>
    <xf numFmtId="0" fontId="14" fillId="6" borderId="2" xfId="0" applyFont="1" applyFill="1" applyBorder="1" applyAlignment="1">
      <alignment horizontal="right" vertical="center" wrapText="1"/>
    </xf>
    <xf numFmtId="0" fontId="16" fillId="6" borderId="0" xfId="0" applyFont="1" applyFill="1" applyAlignment="1">
      <alignment horizontal="left" vertical="center"/>
    </xf>
    <xf numFmtId="3" fontId="16" fillId="6" borderId="0" xfId="0" applyNumberFormat="1" applyFont="1" applyFill="1" applyAlignment="1">
      <alignment horizontal="right" vertical="center" wrapText="1"/>
    </xf>
    <xf numFmtId="0" fontId="16" fillId="6" borderId="0" xfId="0" applyFont="1" applyFill="1" applyAlignment="1">
      <alignment horizontal="right" vertical="center" wrapText="1"/>
    </xf>
    <xf numFmtId="0" fontId="0" fillId="0" borderId="0" xfId="0" applyFont="1"/>
    <xf numFmtId="169" fontId="0" fillId="0" borderId="0" xfId="0" applyNumberFormat="1"/>
    <xf numFmtId="0" fontId="12" fillId="0" borderId="0" xfId="0" applyFont="1" applyFill="1" applyAlignment="1">
      <alignment horizontal="left"/>
    </xf>
    <xf numFmtId="0" fontId="3" fillId="0" borderId="3" xfId="0" applyFont="1" applyBorder="1"/>
    <xf numFmtId="167" fontId="3" fillId="0" borderId="3" xfId="0" applyNumberFormat="1" applyFont="1" applyBorder="1"/>
    <xf numFmtId="168" fontId="3" fillId="0" borderId="3" xfId="0" applyNumberFormat="1" applyFont="1" applyBorder="1"/>
    <xf numFmtId="169" fontId="3" fillId="0" borderId="3" xfId="0" applyNumberFormat="1" applyFont="1" applyBorder="1"/>
    <xf numFmtId="10" fontId="0" fillId="0" borderId="0" xfId="0" applyNumberFormat="1"/>
    <xf numFmtId="170" fontId="0" fillId="0" borderId="0" xfId="0" applyNumberFormat="1"/>
    <xf numFmtId="1" fontId="0" fillId="0" borderId="0" xfId="0" applyNumberFormat="1"/>
    <xf numFmtId="0" fontId="0" fillId="0" borderId="4" xfId="0" applyBorder="1"/>
    <xf numFmtId="10" fontId="0" fillId="0" borderId="4" xfId="0" applyNumberFormat="1" applyBorder="1"/>
    <xf numFmtId="0" fontId="0" fillId="0" borderId="0" xfId="0" applyFill="1" applyBorder="1"/>
    <xf numFmtId="0" fontId="0" fillId="0" borderId="0" xfId="0" applyBorder="1"/>
    <xf numFmtId="2" fontId="0" fillId="0" borderId="0" xfId="0" applyNumberFormat="1"/>
    <xf numFmtId="171" fontId="0" fillId="0" borderId="0" xfId="0" applyNumberFormat="1"/>
    <xf numFmtId="0" fontId="0" fillId="0" borderId="4" xfId="0" applyFill="1" applyBorder="1"/>
    <xf numFmtId="0" fontId="0" fillId="0" borderId="3" xfId="0" applyBorder="1"/>
    <xf numFmtId="10" fontId="0" fillId="0" borderId="3" xfId="0" applyNumberFormat="1" applyBorder="1"/>
    <xf numFmtId="0" fontId="17" fillId="0" borderId="0" xfId="0" applyFont="1" applyBorder="1"/>
    <xf numFmtId="0" fontId="0" fillId="0" borderId="5" xfId="0" applyBorder="1"/>
    <xf numFmtId="10" fontId="0" fillId="0" borderId="5" xfId="0" applyNumberFormat="1" applyBorder="1"/>
    <xf numFmtId="0" fontId="0" fillId="4" borderId="0" xfId="0" applyFill="1"/>
    <xf numFmtId="0" fontId="4" fillId="4" borderId="0" xfId="0" applyFont="1" applyFill="1"/>
    <xf numFmtId="9" fontId="0" fillId="0" borderId="0" xfId="0" applyNumberFormat="1"/>
    <xf numFmtId="172" fontId="2" fillId="4" borderId="0" xfId="0" applyNumberFormat="1" applyFont="1" applyFill="1" applyAlignment="1">
      <alignment horizontal="right"/>
    </xf>
    <xf numFmtId="0" fontId="20" fillId="0" borderId="0" xfId="0" applyFont="1" applyFill="1" applyAlignment="1">
      <alignment vertical="center"/>
    </xf>
    <xf numFmtId="166" fontId="20" fillId="0" borderId="0" xfId="0" applyNumberFormat="1" applyFont="1" applyFill="1" applyAlignment="1">
      <alignment horizontal="right"/>
    </xf>
    <xf numFmtId="173" fontId="0" fillId="0" borderId="0" xfId="0" applyNumberFormat="1"/>
    <xf numFmtId="0" fontId="18" fillId="0" borderId="0" xfId="0" applyFont="1" applyAlignment="1">
      <alignment horizontal="right"/>
    </xf>
    <xf numFmtId="174" fontId="0" fillId="0" borderId="0" xfId="0" applyNumberFormat="1"/>
    <xf numFmtId="0" fontId="2" fillId="5" borderId="0" xfId="0" applyFont="1" applyFill="1"/>
    <xf numFmtId="0" fontId="2" fillId="4" borderId="0" xfId="0" applyFont="1" applyFill="1" applyAlignment="1">
      <alignment horizontal="right"/>
    </xf>
    <xf numFmtId="0" fontId="2" fillId="4" borderId="0" xfId="0" applyFont="1" applyFill="1" applyAlignment="1"/>
    <xf numFmtId="175" fontId="0" fillId="0" borderId="0" xfId="0" applyNumberFormat="1"/>
    <xf numFmtId="175" fontId="3" fillId="0" borderId="3" xfId="0" applyNumberFormat="1" applyFont="1" applyBorder="1"/>
    <xf numFmtId="0" fontId="20" fillId="5" borderId="0" xfId="0" applyFont="1" applyFill="1"/>
    <xf numFmtId="0" fontId="0" fillId="0" borderId="6" xfId="0" applyBorder="1"/>
    <xf numFmtId="0" fontId="22" fillId="0" borderId="0" xfId="0" applyFont="1"/>
    <xf numFmtId="10" fontId="22" fillId="0" borderId="0" xfId="0" applyNumberFormat="1" applyFont="1"/>
    <xf numFmtId="10" fontId="0" fillId="8" borderId="0" xfId="0" applyNumberFormat="1" applyFill="1"/>
    <xf numFmtId="2" fontId="22" fillId="0" borderId="0" xfId="0" applyNumberFormat="1" applyFont="1"/>
    <xf numFmtId="0" fontId="3" fillId="0" borderId="5" xfId="0" applyFont="1" applyBorder="1"/>
    <xf numFmtId="2" fontId="0" fillId="0" borderId="5" xfId="0" applyNumberFormat="1" applyFont="1" applyBorder="1"/>
    <xf numFmtId="2" fontId="0" fillId="0" borderId="5" xfId="0" applyNumberFormat="1" applyBorder="1"/>
    <xf numFmtId="0" fontId="3" fillId="0" borderId="6" xfId="0" applyFont="1" applyBorder="1"/>
    <xf numFmtId="10" fontId="0" fillId="0" borderId="6" xfId="0" applyNumberFormat="1" applyBorder="1"/>
    <xf numFmtId="2" fontId="0" fillId="0" borderId="6" xfId="0" applyNumberFormat="1" applyFont="1" applyBorder="1"/>
    <xf numFmtId="2" fontId="0" fillId="0" borderId="6" xfId="0" applyNumberFormat="1" applyBorder="1"/>
    <xf numFmtId="10" fontId="0" fillId="0" borderId="0" xfId="0" applyNumberFormat="1" applyFont="1"/>
    <xf numFmtId="10" fontId="0" fillId="8" borderId="4" xfId="0" applyNumberFormat="1" applyFill="1" applyBorder="1"/>
    <xf numFmtId="2" fontId="0" fillId="0" borderId="0" xfId="0" applyNumberFormat="1" applyFill="1" applyBorder="1"/>
    <xf numFmtId="0" fontId="3" fillId="0" borderId="6" xfId="0" applyFont="1" applyBorder="1" applyAlignment="1">
      <alignment horizontal="right"/>
    </xf>
    <xf numFmtId="10" fontId="0" fillId="0" borderId="0" xfId="0" applyNumberFormat="1" applyFill="1"/>
    <xf numFmtId="167" fontId="0" fillId="0" borderId="4" xfId="0" applyNumberFormat="1" applyBorder="1"/>
    <xf numFmtId="2" fontId="0" fillId="8" borderId="4" xfId="0" applyNumberFormat="1" applyFill="1" applyBorder="1"/>
    <xf numFmtId="0" fontId="23" fillId="0" borderId="0" xfId="0" applyFont="1" applyAlignment="1">
      <alignment vertical="top"/>
    </xf>
    <xf numFmtId="0" fontId="0" fillId="8" borderId="0" xfId="0" applyFill="1"/>
    <xf numFmtId="10" fontId="18" fillId="0" borderId="0" xfId="0" applyNumberFormat="1" applyFont="1"/>
    <xf numFmtId="167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5" xfId="0" applyBorder="1" applyAlignment="1">
      <alignment horizontal="right"/>
    </xf>
    <xf numFmtId="167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0" fontId="19" fillId="0" borderId="0" xfId="0" applyNumberFormat="1" applyFont="1"/>
    <xf numFmtId="167" fontId="18" fillId="0" borderId="0" xfId="0" applyNumberFormat="1" applyFont="1"/>
    <xf numFmtId="167" fontId="3" fillId="8" borderId="3" xfId="0" applyNumberFormat="1" applyFont="1" applyFill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173" fontId="9" fillId="0" borderId="0" xfId="0" applyNumberFormat="1" applyFont="1" applyBorder="1"/>
    <xf numFmtId="10" fontId="25" fillId="0" borderId="10" xfId="0" applyNumberFormat="1" applyFont="1" applyBorder="1"/>
    <xf numFmtId="10" fontId="3" fillId="0" borderId="0" xfId="2" applyNumberFormat="1" applyFont="1" applyBorder="1"/>
    <xf numFmtId="169" fontId="0" fillId="0" borderId="0" xfId="0" applyNumberFormat="1" applyBorder="1"/>
    <xf numFmtId="169" fontId="0" fillId="0" borderId="6" xfId="0" applyNumberFormat="1" applyBorder="1"/>
    <xf numFmtId="0" fontId="0" fillId="0" borderId="9" xfId="0" applyNumberFormat="1" applyBorder="1"/>
    <xf numFmtId="0" fontId="8" fillId="0" borderId="5" xfId="0" applyFont="1" applyFill="1" applyBorder="1" applyAlignment="1"/>
    <xf numFmtId="0" fontId="8" fillId="4" borderId="9" xfId="0" applyFont="1" applyFill="1" applyBorder="1" applyAlignment="1">
      <alignment horizontal="center"/>
    </xf>
    <xf numFmtId="169" fontId="3" fillId="8" borderId="0" xfId="0" applyNumberFormat="1" applyFont="1" applyFill="1" applyBorder="1"/>
    <xf numFmtId="10" fontId="26" fillId="8" borderId="6" xfId="2" applyNumberFormat="1" applyFont="1" applyFill="1" applyBorder="1"/>
    <xf numFmtId="10" fontId="24" fillId="8" borderId="10" xfId="0" applyNumberFormat="1" applyFont="1" applyFill="1" applyBorder="1"/>
    <xf numFmtId="0" fontId="19" fillId="0" borderId="0" xfId="0" applyFont="1" applyAlignment="1">
      <alignment horizontal="right"/>
    </xf>
    <xf numFmtId="176" fontId="19" fillId="0" borderId="0" xfId="0" applyNumberFormat="1" applyFont="1"/>
    <xf numFmtId="175" fontId="18" fillId="0" borderId="0" xfId="0" applyNumberFormat="1" applyFont="1"/>
    <xf numFmtId="10" fontId="25" fillId="0" borderId="12" xfId="0" applyNumberFormat="1" applyFont="1" applyBorder="1"/>
    <xf numFmtId="10" fontId="3" fillId="0" borderId="6" xfId="2" applyNumberFormat="1" applyFont="1" applyBorder="1"/>
    <xf numFmtId="0" fontId="3" fillId="0" borderId="13" xfId="0" applyFont="1" applyBorder="1"/>
    <xf numFmtId="17" fontId="3" fillId="0" borderId="13" xfId="0" applyNumberFormat="1" applyFont="1" applyBorder="1"/>
    <xf numFmtId="43" fontId="3" fillId="0" borderId="0" xfId="0" applyNumberFormat="1" applyFont="1"/>
    <xf numFmtId="10" fontId="3" fillId="0" borderId="0" xfId="2" applyNumberFormat="1" applyFont="1"/>
    <xf numFmtId="43" fontId="0" fillId="0" borderId="0" xfId="0" applyNumberFormat="1"/>
    <xf numFmtId="0" fontId="3" fillId="0" borderId="0" xfId="0" applyFont="1" applyBorder="1"/>
    <xf numFmtId="17" fontId="3" fillId="0" borderId="0" xfId="0" applyNumberFormat="1" applyFont="1" applyBorder="1"/>
    <xf numFmtId="0" fontId="0" fillId="0" borderId="6" xfId="0" applyBorder="1" applyAlignment="1">
      <alignment horizontal="left"/>
    </xf>
    <xf numFmtId="0" fontId="2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175" fontId="0" fillId="0" borderId="0" xfId="0" applyNumberFormat="1" applyAlignment="1">
      <alignment horizontal="right"/>
    </xf>
    <xf numFmtId="0" fontId="10" fillId="0" borderId="0" xfId="0" applyFont="1" applyAlignment="1">
      <alignment horizontal="left"/>
    </xf>
    <xf numFmtId="4" fontId="0" fillId="0" borderId="0" xfId="0" applyNumberFormat="1"/>
    <xf numFmtId="3" fontId="0" fillId="0" borderId="0" xfId="0" applyNumberFormat="1"/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8" fontId="0" fillId="0" borderId="0" xfId="0" applyNumberFormat="1"/>
    <xf numFmtId="178" fontId="0" fillId="0" borderId="5" xfId="0" applyNumberFormat="1" applyBorder="1"/>
    <xf numFmtId="178" fontId="0" fillId="0" borderId="6" xfId="0" applyNumberFormat="1" applyBorder="1"/>
    <xf numFmtId="0" fontId="27" fillId="4" borderId="0" xfId="0" applyFont="1" applyFill="1"/>
    <xf numFmtId="0" fontId="27" fillId="4" borderId="0" xfId="0" applyFont="1" applyFill="1" applyAlignment="1"/>
    <xf numFmtId="0" fontId="27" fillId="0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43" fontId="7" fillId="0" borderId="0" xfId="4" applyNumberFormat="1" applyBorder="1" applyAlignment="1" applyProtection="1">
      <alignment horizontal="center"/>
    </xf>
    <xf numFmtId="43" fontId="8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0000FF"/>
      <color rgb="FF5959FD"/>
      <color rgb="FF2F03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"/>
  <sheetViews>
    <sheetView workbookViewId="0">
      <selection activeCell="H18" sqref="H18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5"/>
  <sheetViews>
    <sheetView showGridLines="0" tabSelected="1" zoomScaleNormal="100" workbookViewId="0">
      <selection activeCell="L66" sqref="L66"/>
    </sheetView>
  </sheetViews>
  <sheetFormatPr defaultRowHeight="14.4" x14ac:dyDescent="0.3"/>
  <cols>
    <col min="1" max="1" width="1.88671875" customWidth="1"/>
    <col min="2" max="2" width="26.77734375" bestFit="1" customWidth="1"/>
    <col min="3" max="3" width="10.77734375" customWidth="1"/>
    <col min="4" max="4" width="11" customWidth="1"/>
    <col min="5" max="5" width="10.44140625" customWidth="1"/>
    <col min="6" max="6" width="10.5546875" customWidth="1"/>
    <col min="7" max="7" width="10.6640625" customWidth="1"/>
    <col min="8" max="8" width="9.6640625" customWidth="1"/>
    <col min="9" max="9" width="10.44140625" customWidth="1"/>
    <col min="10" max="10" width="10.21875" customWidth="1"/>
    <col min="11" max="11" width="10.44140625" customWidth="1"/>
    <col min="12" max="12" width="10.21875" customWidth="1"/>
    <col min="13" max="13" width="10" customWidth="1"/>
  </cols>
  <sheetData>
    <row r="2" spans="1:14" x14ac:dyDescent="0.3">
      <c r="B2" s="146" t="str">
        <f>"Historical Financial Statement - "&amp;'Data Sheet'!B1</f>
        <v>Historical Financial Statement - MARUTI SUZUKI INDIA LTD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</row>
    <row r="3" spans="1:14" x14ac:dyDescent="0.3">
      <c r="B3" s="8" t="s">
        <v>54</v>
      </c>
      <c r="C3" s="9">
        <f>'Data Sheet'!B16</f>
        <v>42460</v>
      </c>
      <c r="D3" s="9">
        <f>'Data Sheet'!C16</f>
        <v>42825</v>
      </c>
      <c r="E3" s="9">
        <f>'Data Sheet'!D16</f>
        <v>43190</v>
      </c>
      <c r="F3" s="9">
        <f>'Data Sheet'!E16</f>
        <v>43555</v>
      </c>
      <c r="G3" s="9">
        <f>'Data Sheet'!F16</f>
        <v>43921</v>
      </c>
      <c r="H3" s="9">
        <f>'Data Sheet'!G16</f>
        <v>44286</v>
      </c>
      <c r="I3" s="9">
        <f>'Data Sheet'!H16</f>
        <v>44651</v>
      </c>
      <c r="J3" s="9">
        <f>'Data Sheet'!I16</f>
        <v>45016</v>
      </c>
      <c r="K3" s="9">
        <f>'Data Sheet'!J16</f>
        <v>45382</v>
      </c>
      <c r="L3" s="9">
        <f>'Data Sheet'!K16</f>
        <v>45747</v>
      </c>
      <c r="M3" s="9" t="s">
        <v>55</v>
      </c>
    </row>
    <row r="4" spans="1:14" s="12" customFormat="1" x14ac:dyDescent="0.3">
      <c r="B4" s="40" t="s">
        <v>80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4" x14ac:dyDescent="0.3">
      <c r="A5" t="s">
        <v>56</v>
      </c>
      <c r="B5" s="14" t="s">
        <v>69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4" x14ac:dyDescent="0.3">
      <c r="B6" t="s">
        <v>12</v>
      </c>
      <c r="C6" s="39">
        <f>IFERROR('Data Sheet'!B17,0)</f>
        <v>57589</v>
      </c>
      <c r="D6" s="39">
        <f>IFERROR('Data Sheet'!C17,0)</f>
        <v>68085</v>
      </c>
      <c r="E6" s="39">
        <f>IFERROR('Data Sheet'!D17,0)</f>
        <v>79809.399999999994</v>
      </c>
      <c r="F6" s="39">
        <f>IFERROR('Data Sheet'!E17,0)</f>
        <v>86068.5</v>
      </c>
      <c r="G6" s="39">
        <f>IFERROR('Data Sheet'!F17,0)</f>
        <v>75660</v>
      </c>
      <c r="H6" s="39">
        <f>IFERROR('Data Sheet'!G17,0)</f>
        <v>70372</v>
      </c>
      <c r="I6" s="39">
        <f>IFERROR('Data Sheet'!H17,0)</f>
        <v>88329.8</v>
      </c>
      <c r="J6" s="39">
        <f>IFERROR('Data Sheet'!I17,0)</f>
        <v>117571.3</v>
      </c>
      <c r="K6" s="39">
        <f>IFERROR('Data Sheet'!J17,0)</f>
        <v>141858.20000000001</v>
      </c>
      <c r="L6" s="39">
        <f>IFERROR('Data Sheet'!K17,0)</f>
        <v>152913</v>
      </c>
      <c r="M6" s="39">
        <f>IFERROR(SUM('Data Sheet'!B42:K42),0)</f>
        <v>393089.89999999997</v>
      </c>
      <c r="N6" s="39"/>
    </row>
    <row r="7" spans="1:14" x14ac:dyDescent="0.3">
      <c r="B7" s="11" t="s">
        <v>57</v>
      </c>
      <c r="C7" s="15" t="s">
        <v>79</v>
      </c>
      <c r="D7" s="16">
        <f>D6/C6-1</f>
        <v>0.18225702825192314</v>
      </c>
      <c r="E7" s="16">
        <f t="shared" ref="E7:M7" si="0">E6/D6-1</f>
        <v>0.17220239406624072</v>
      </c>
      <c r="F7" s="16">
        <f t="shared" si="0"/>
        <v>7.8425598989592782E-2</v>
      </c>
      <c r="G7" s="16">
        <f t="shared" si="0"/>
        <v>-0.12093274542951249</v>
      </c>
      <c r="H7" s="16">
        <f t="shared" si="0"/>
        <v>-6.9891620407084298E-2</v>
      </c>
      <c r="I7" s="16">
        <f t="shared" si="0"/>
        <v>0.25518387995225389</v>
      </c>
      <c r="J7" s="16">
        <f t="shared" si="0"/>
        <v>0.3310490910202446</v>
      </c>
      <c r="K7" s="16">
        <f t="shared" si="0"/>
        <v>0.20657167182807368</v>
      </c>
      <c r="L7" s="16">
        <f t="shared" si="0"/>
        <v>7.7928522989858751E-2</v>
      </c>
      <c r="M7" s="16">
        <f t="shared" si="0"/>
        <v>1.5706767900701704</v>
      </c>
    </row>
    <row r="9" spans="1:14" x14ac:dyDescent="0.3">
      <c r="B9" t="s">
        <v>58</v>
      </c>
      <c r="C9" s="39">
        <f>IFERROR(SUM('Data Sheet'!B18,'Data Sheet'!B20:B22),0)</f>
        <v>41823.4</v>
      </c>
      <c r="D9" s="39">
        <f>IFERROR(SUM('Data Sheet'!C18,'Data Sheet'!C20:C22),0)</f>
        <v>50383.3</v>
      </c>
      <c r="E9" s="39">
        <f>IFERROR(SUM('Data Sheet'!D18,'Data Sheet'!D20:D22),0)</f>
        <v>58944.200000000004</v>
      </c>
      <c r="F9" s="39">
        <f>IFERROR(SUM('Data Sheet'!E18,'Data Sheet'!E20:E22),0)</f>
        <v>63970.6</v>
      </c>
      <c r="G9" s="39">
        <f>IFERROR(SUM('Data Sheet'!F18,'Data Sheet'!F20:F22),0)</f>
        <v>57895.799999999996</v>
      </c>
      <c r="H9" s="39">
        <f>IFERROR(SUM('Data Sheet'!G18,'Data Sheet'!G20:G22),0)</f>
        <v>55142</v>
      </c>
      <c r="I9" s="39">
        <f>IFERROR(SUM('Data Sheet'!H18,'Data Sheet'!H20:H22),0)</f>
        <v>71671.899999999994</v>
      </c>
      <c r="J9" s="39">
        <f>IFERROR(SUM('Data Sheet'!I18,'Data Sheet'!I20:I22),0)</f>
        <v>93200</v>
      </c>
      <c r="K9" s="39">
        <f>IFERROR(SUM('Data Sheet'!J18,'Data Sheet'!J20:J22),0)</f>
        <v>108393.8</v>
      </c>
      <c r="L9" s="39">
        <f>IFERROR(SUM('Data Sheet'!K18,'Data Sheet'!K20:K22),0)</f>
        <v>118791.3</v>
      </c>
      <c r="M9" s="39">
        <f>IFERROR(SUM('Data Sheet'!B43:K43),0)</f>
        <v>342809.7</v>
      </c>
    </row>
    <row r="10" spans="1:14" x14ac:dyDescent="0.3">
      <c r="B10" s="11" t="s">
        <v>59</v>
      </c>
      <c r="C10" s="16">
        <f>C9/C6</f>
        <v>0.72623938599385307</v>
      </c>
      <c r="D10" s="16">
        <f t="shared" ref="D10:M10" si="1">D9/D6</f>
        <v>0.74000587500917969</v>
      </c>
      <c r="E10" s="16">
        <f t="shared" si="1"/>
        <v>0.73856212426105206</v>
      </c>
      <c r="F10" s="16">
        <f t="shared" si="1"/>
        <v>0.74325217704502811</v>
      </c>
      <c r="G10" s="16">
        <f t="shared" si="1"/>
        <v>0.76521015067406817</v>
      </c>
      <c r="H10" s="16">
        <f t="shared" si="1"/>
        <v>0.78357869607230146</v>
      </c>
      <c r="I10" s="16">
        <f t="shared" si="1"/>
        <v>0.81141245649825988</v>
      </c>
      <c r="J10" s="16">
        <f t="shared" si="1"/>
        <v>0.79271046590451921</v>
      </c>
      <c r="K10" s="16">
        <f t="shared" si="1"/>
        <v>0.76409964316479406</v>
      </c>
      <c r="L10" s="16">
        <f t="shared" si="1"/>
        <v>0.77685546683408213</v>
      </c>
      <c r="M10" s="16">
        <f t="shared" si="1"/>
        <v>0.87208981965703025</v>
      </c>
    </row>
    <row r="12" spans="1:14" x14ac:dyDescent="0.3">
      <c r="B12" s="41" t="s">
        <v>60</v>
      </c>
      <c r="C12" s="44">
        <f>C6-C9</f>
        <v>15765.599999999999</v>
      </c>
      <c r="D12" s="44">
        <f t="shared" ref="D12:M12" si="2">D6-D9</f>
        <v>17701.699999999997</v>
      </c>
      <c r="E12" s="44">
        <f t="shared" si="2"/>
        <v>20865.19999999999</v>
      </c>
      <c r="F12" s="44">
        <f t="shared" si="2"/>
        <v>22097.9</v>
      </c>
      <c r="G12" s="44">
        <f t="shared" si="2"/>
        <v>17764.200000000004</v>
      </c>
      <c r="H12" s="44">
        <f t="shared" si="2"/>
        <v>15230</v>
      </c>
      <c r="I12" s="44">
        <f t="shared" si="2"/>
        <v>16657.900000000009</v>
      </c>
      <c r="J12" s="44">
        <f t="shared" si="2"/>
        <v>24371.300000000003</v>
      </c>
      <c r="K12" s="44">
        <f t="shared" si="2"/>
        <v>33464.400000000009</v>
      </c>
      <c r="L12" s="44">
        <f t="shared" si="2"/>
        <v>34121.699999999997</v>
      </c>
      <c r="M12" s="44">
        <f t="shared" si="2"/>
        <v>50280.199999999953</v>
      </c>
    </row>
    <row r="13" spans="1:14" x14ac:dyDescent="0.3">
      <c r="B13" s="11" t="s">
        <v>70</v>
      </c>
      <c r="C13" s="16">
        <f>C12/C6</f>
        <v>0.27376061400614699</v>
      </c>
      <c r="D13" s="16">
        <f t="shared" ref="D13:M13" si="3">D12/D6</f>
        <v>0.25999412499082025</v>
      </c>
      <c r="E13" s="16">
        <f t="shared" si="3"/>
        <v>0.26143787573894794</v>
      </c>
      <c r="F13" s="16">
        <f t="shared" si="3"/>
        <v>0.25674782295497195</v>
      </c>
      <c r="G13" s="16">
        <f t="shared" si="3"/>
        <v>0.23478984932593186</v>
      </c>
      <c r="H13" s="16">
        <f t="shared" si="3"/>
        <v>0.21642130392769851</v>
      </c>
      <c r="I13" s="16">
        <f t="shared" si="3"/>
        <v>0.18858754350174017</v>
      </c>
      <c r="J13" s="16">
        <f t="shared" si="3"/>
        <v>0.20728953409548082</v>
      </c>
      <c r="K13" s="16">
        <f t="shared" si="3"/>
        <v>0.23590035683520591</v>
      </c>
      <c r="L13" s="16">
        <f t="shared" si="3"/>
        <v>0.22314453316591787</v>
      </c>
      <c r="M13" s="16">
        <f t="shared" si="3"/>
        <v>0.12791018034296978</v>
      </c>
    </row>
    <row r="15" spans="1:14" x14ac:dyDescent="0.3">
      <c r="B15" t="s">
        <v>61</v>
      </c>
      <c r="C15" s="39">
        <f>IFERROR(SUM('Data Sheet'!B23:B24),0)</f>
        <v>6736.7000000000007</v>
      </c>
      <c r="D15" s="39">
        <f>IFERROR(SUM('Data Sheet'!C23:C24),0)</f>
        <v>7659.7000000000007</v>
      </c>
      <c r="E15" s="39">
        <f>IFERROR(SUM('Data Sheet'!D23:D24),0)</f>
        <v>8706.5</v>
      </c>
      <c r="F15" s="39">
        <f>IFERROR(SUM('Data Sheet'!E23:E24),0)</f>
        <v>10830</v>
      </c>
      <c r="G15" s="39">
        <f>IFERROR(SUM('Data Sheet'!F23:F24),0)</f>
        <v>10647.9</v>
      </c>
      <c r="H15" s="39">
        <f>IFERROR(SUM('Data Sheet'!G23:G24),0)</f>
        <v>9545.7999999999993</v>
      </c>
      <c r="I15" s="39">
        <f>IFERROR(SUM('Data Sheet'!H23:H24),0)</f>
        <v>10999</v>
      </c>
      <c r="J15" s="39">
        <f>IFERROR(SUM('Data Sheet'!I23:I24),0)</f>
        <v>13746</v>
      </c>
      <c r="K15" s="39">
        <f>IFERROR(SUM('Data Sheet'!J23:J24),0)</f>
        <v>15216.7</v>
      </c>
      <c r="L15" s="39">
        <f>IFERROR(SUM('Data Sheet'!K23:K24),0)</f>
        <v>15125.599999999999</v>
      </c>
      <c r="M15" s="17"/>
    </row>
    <row r="16" spans="1:14" x14ac:dyDescent="0.3">
      <c r="B16" s="11" t="s">
        <v>62</v>
      </c>
      <c r="C16" s="16">
        <f>C15/C6</f>
        <v>0.11697893694976473</v>
      </c>
      <c r="D16" s="16">
        <f t="shared" ref="D16:L16" si="4">D15/D6</f>
        <v>0.11250201953440553</v>
      </c>
      <c r="E16" s="16">
        <f t="shared" si="4"/>
        <v>0.10909115968795656</v>
      </c>
      <c r="F16" s="16">
        <f t="shared" si="4"/>
        <v>0.12583000749403092</v>
      </c>
      <c r="G16" s="16">
        <f t="shared" si="4"/>
        <v>0.14073354480570974</v>
      </c>
      <c r="H16" s="16">
        <f t="shared" si="4"/>
        <v>0.13564770079008695</v>
      </c>
      <c r="I16" s="16">
        <f t="shared" si="4"/>
        <v>0.12452196201055589</v>
      </c>
      <c r="J16" s="16">
        <f t="shared" si="4"/>
        <v>0.1169162882438146</v>
      </c>
      <c r="K16" s="16">
        <f t="shared" si="4"/>
        <v>0.10726697504973276</v>
      </c>
      <c r="L16" s="16">
        <f t="shared" si="4"/>
        <v>9.8916377286430837E-2</v>
      </c>
      <c r="M16" s="16"/>
    </row>
    <row r="18" spans="2:13" x14ac:dyDescent="0.3">
      <c r="B18" s="41" t="s">
        <v>63</v>
      </c>
      <c r="C18" s="44">
        <f>C12-C15</f>
        <v>9028.8999999999978</v>
      </c>
      <c r="D18" s="44">
        <f t="shared" ref="D18:M18" si="5">D12-D15</f>
        <v>10041.999999999996</v>
      </c>
      <c r="E18" s="44">
        <f t="shared" si="5"/>
        <v>12158.69999999999</v>
      </c>
      <c r="F18" s="44">
        <f t="shared" si="5"/>
        <v>11267.900000000001</v>
      </c>
      <c r="G18" s="44">
        <f t="shared" si="5"/>
        <v>7116.3000000000047</v>
      </c>
      <c r="H18" s="44">
        <f t="shared" si="5"/>
        <v>5684.2000000000007</v>
      </c>
      <c r="I18" s="44">
        <f t="shared" si="5"/>
        <v>5658.9000000000087</v>
      </c>
      <c r="J18" s="44">
        <f t="shared" si="5"/>
        <v>10625.300000000003</v>
      </c>
      <c r="K18" s="44">
        <f t="shared" si="5"/>
        <v>18247.700000000008</v>
      </c>
      <c r="L18" s="44">
        <f t="shared" si="5"/>
        <v>18996.099999999999</v>
      </c>
      <c r="M18" s="44">
        <f t="shared" si="5"/>
        <v>50280.199999999953</v>
      </c>
    </row>
    <row r="19" spans="2:13" x14ac:dyDescent="0.3">
      <c r="B19" s="11" t="s">
        <v>64</v>
      </c>
      <c r="C19" s="16">
        <f>C18/C6</f>
        <v>0.15678167705638227</v>
      </c>
      <c r="D19" s="16">
        <f t="shared" ref="D19:M19" si="6">D18/D6</f>
        <v>0.14749210545641472</v>
      </c>
      <c r="E19" s="16">
        <f t="shared" si="6"/>
        <v>0.15234671605099137</v>
      </c>
      <c r="F19" s="16">
        <f t="shared" si="6"/>
        <v>0.130917815460941</v>
      </c>
      <c r="G19" s="16">
        <f t="shared" si="6"/>
        <v>9.4056304520222109E-2</v>
      </c>
      <c r="H19" s="16">
        <f t="shared" si="6"/>
        <v>8.077360313761156E-2</v>
      </c>
      <c r="I19" s="16">
        <f t="shared" si="6"/>
        <v>6.406558149118427E-2</v>
      </c>
      <c r="J19" s="16">
        <f t="shared" si="6"/>
        <v>9.0373245851666201E-2</v>
      </c>
      <c r="K19" s="16">
        <f t="shared" si="6"/>
        <v>0.12863338178547315</v>
      </c>
      <c r="L19" s="16">
        <f t="shared" si="6"/>
        <v>0.12422815587948702</v>
      </c>
      <c r="M19" s="16">
        <f t="shared" si="6"/>
        <v>0.12791018034296978</v>
      </c>
    </row>
    <row r="21" spans="2:13" x14ac:dyDescent="0.3">
      <c r="B21" t="s">
        <v>22</v>
      </c>
      <c r="C21" s="39">
        <f>IFERROR('Data Sheet'!B46,0)</f>
        <v>35.1</v>
      </c>
      <c r="D21" s="39">
        <f>IFERROR('Data Sheet'!C46,0)</f>
        <v>35.799999999999997</v>
      </c>
      <c r="E21" s="39">
        <f>IFERROR('Data Sheet'!D46,0)</f>
        <v>76.2</v>
      </c>
      <c r="F21" s="39">
        <f>IFERROR('Data Sheet'!E46,0)</f>
        <v>57.3</v>
      </c>
      <c r="G21" s="39">
        <f>IFERROR('Data Sheet'!F46,0)</f>
        <v>43</v>
      </c>
      <c r="H21" s="39">
        <f>IFERROR('Data Sheet'!G46,0)</f>
        <v>46.3</v>
      </c>
      <c r="I21" s="39">
        <f>IFERROR('Data Sheet'!H46,0)</f>
        <v>47.6</v>
      </c>
      <c r="J21" s="39">
        <f>IFERROR('Data Sheet'!I46,0)</f>
        <v>46.8</v>
      </c>
      <c r="K21" s="39">
        <f>IFERROR('Data Sheet'!J46,0)</f>
        <v>57.2</v>
      </c>
      <c r="L21" s="39">
        <f>IFERROR('Data Sheet'!K46,0)</f>
        <v>61.7</v>
      </c>
      <c r="M21" s="39">
        <f>IFERROR(SUM('Data Sheet'!B46:K46),0)</f>
        <v>507.00000000000006</v>
      </c>
    </row>
    <row r="22" spans="2:13" x14ac:dyDescent="0.3">
      <c r="B22" s="11" t="s">
        <v>65</v>
      </c>
      <c r="C22" s="16">
        <f>C21/C6</f>
        <v>6.094913959263054E-4</v>
      </c>
      <c r="D22" s="16">
        <f t="shared" ref="D22:M22" si="7">D21/D6</f>
        <v>5.2581332158331497E-4</v>
      </c>
      <c r="E22" s="16">
        <f t="shared" si="7"/>
        <v>9.5477475084388569E-4</v>
      </c>
      <c r="F22" s="16">
        <f t="shared" si="7"/>
        <v>6.6574879311246272E-4</v>
      </c>
      <c r="G22" s="16">
        <f t="shared" si="7"/>
        <v>5.6833201163098074E-4</v>
      </c>
      <c r="H22" s="16">
        <f t="shared" si="7"/>
        <v>6.5793213209799353E-4</v>
      </c>
      <c r="I22" s="16">
        <f t="shared" si="7"/>
        <v>5.3888948010750624E-4</v>
      </c>
      <c r="J22" s="16">
        <f t="shared" si="7"/>
        <v>3.9805632837265555E-4</v>
      </c>
      <c r="K22" s="16">
        <f t="shared" si="7"/>
        <v>4.032195530466339E-4</v>
      </c>
      <c r="L22" s="16">
        <f t="shared" si="7"/>
        <v>4.0349741356196007E-4</v>
      </c>
      <c r="M22" s="16">
        <f t="shared" si="7"/>
        <v>1.2897812943044329E-3</v>
      </c>
    </row>
    <row r="24" spans="2:13" x14ac:dyDescent="0.3">
      <c r="B24" t="s">
        <v>21</v>
      </c>
      <c r="C24" s="17">
        <f>IFERROR('Data Sheet'!B26,0)</f>
        <v>2821.8</v>
      </c>
      <c r="D24" s="17">
        <f>IFERROR('Data Sheet'!C26,0)</f>
        <v>2603.9</v>
      </c>
      <c r="E24" s="17">
        <f>IFERROR('Data Sheet'!D26,0)</f>
        <v>2759.8</v>
      </c>
      <c r="F24" s="17">
        <f>IFERROR('Data Sheet'!E26,0)</f>
        <v>3020.8</v>
      </c>
      <c r="G24" s="17">
        <f>IFERROR('Data Sheet'!F26,0)</f>
        <v>3528.4</v>
      </c>
      <c r="H24" s="17">
        <f>IFERROR('Data Sheet'!G26,0)</f>
        <v>3034.1</v>
      </c>
      <c r="I24" s="17">
        <f>IFERROR('Data Sheet'!H26,0)</f>
        <v>2789</v>
      </c>
      <c r="J24" s="17">
        <f>IFERROR('Data Sheet'!I26,0)</f>
        <v>2825.7</v>
      </c>
      <c r="K24" s="17">
        <f>IFERROR('Data Sheet'!J26,0)</f>
        <v>5255.8</v>
      </c>
      <c r="L24" s="17">
        <f>IFERROR('Data Sheet'!K26,0)</f>
        <v>5608.2</v>
      </c>
      <c r="M24" s="17">
        <f>IFERROR(SUM('Data Sheet'!B45:K45),0)</f>
        <v>14543.5</v>
      </c>
    </row>
    <row r="25" spans="2:13" x14ac:dyDescent="0.3">
      <c r="B25" s="11" t="s">
        <v>71</v>
      </c>
      <c r="C25" s="16">
        <f>C24/C6</f>
        <v>4.8998940769938708E-2</v>
      </c>
      <c r="D25" s="16">
        <f t="shared" ref="D25:M25" si="8">D24/D6</f>
        <v>3.8244841007564076E-2</v>
      </c>
      <c r="E25" s="16">
        <f t="shared" si="8"/>
        <v>3.4579886579776321E-2</v>
      </c>
      <c r="F25" s="16">
        <f t="shared" si="8"/>
        <v>3.5097625728344288E-2</v>
      </c>
      <c r="G25" s="16">
        <f t="shared" si="8"/>
        <v>4.663494581020354E-2</v>
      </c>
      <c r="H25" s="16">
        <f t="shared" si="8"/>
        <v>4.3115159438413E-2</v>
      </c>
      <c r="I25" s="16">
        <f t="shared" si="8"/>
        <v>3.1574847899576361E-2</v>
      </c>
      <c r="J25" s="16">
        <f t="shared" si="8"/>
        <v>2.4033926647064375E-2</v>
      </c>
      <c r="K25" s="16">
        <f t="shared" si="8"/>
        <v>3.7049673547246476E-2</v>
      </c>
      <c r="L25" s="16">
        <f t="shared" si="8"/>
        <v>3.6675756802887913E-2</v>
      </c>
      <c r="M25" s="16">
        <f t="shared" si="8"/>
        <v>3.6997897936324492E-2</v>
      </c>
    </row>
    <row r="27" spans="2:13" x14ac:dyDescent="0.3">
      <c r="B27" s="41" t="s">
        <v>66</v>
      </c>
      <c r="C27" s="44">
        <f>C18-SUM(C21,C24)</f>
        <v>6171.9999999999982</v>
      </c>
      <c r="D27" s="44">
        <f t="shared" ref="D27:M27" si="9">D18-SUM(D21,D24)</f>
        <v>7402.2999999999956</v>
      </c>
      <c r="E27" s="44">
        <f t="shared" si="9"/>
        <v>9322.6999999999898</v>
      </c>
      <c r="F27" s="44">
        <f t="shared" si="9"/>
        <v>8189.8000000000011</v>
      </c>
      <c r="G27" s="44">
        <f t="shared" si="9"/>
        <v>3544.9000000000046</v>
      </c>
      <c r="H27" s="44">
        <f t="shared" si="9"/>
        <v>2603.8000000000006</v>
      </c>
      <c r="I27" s="44">
        <f t="shared" si="9"/>
        <v>2822.3000000000088</v>
      </c>
      <c r="J27" s="44">
        <f t="shared" si="9"/>
        <v>7752.8000000000029</v>
      </c>
      <c r="K27" s="44">
        <f t="shared" si="9"/>
        <v>12934.700000000008</v>
      </c>
      <c r="L27" s="44">
        <f t="shared" si="9"/>
        <v>13326.199999999999</v>
      </c>
      <c r="M27" s="44">
        <f t="shared" si="9"/>
        <v>35229.699999999953</v>
      </c>
    </row>
    <row r="28" spans="2:13" x14ac:dyDescent="0.3">
      <c r="B28" s="11" t="s">
        <v>67</v>
      </c>
      <c r="C28" s="16">
        <f>C27/C6</f>
        <v>0.10717324489051726</v>
      </c>
      <c r="D28" s="16">
        <f t="shared" ref="D28:M28" si="10">D27/D6</f>
        <v>0.10872145112726732</v>
      </c>
      <c r="E28" s="16">
        <f t="shared" si="10"/>
        <v>0.11681205472037116</v>
      </c>
      <c r="F28" s="16">
        <f t="shared" si="10"/>
        <v>9.5154440939484261E-2</v>
      </c>
      <c r="G28" s="16">
        <f t="shared" si="10"/>
        <v>4.6853026698387583E-2</v>
      </c>
      <c r="H28" s="16">
        <f t="shared" si="10"/>
        <v>3.7000511567100561E-2</v>
      </c>
      <c r="I28" s="16">
        <f t="shared" si="10"/>
        <v>3.1951844111500406E-2</v>
      </c>
      <c r="J28" s="16">
        <f t="shared" si="10"/>
        <v>6.5941262876229173E-2</v>
      </c>
      <c r="K28" s="16">
        <f t="shared" si="10"/>
        <v>9.1180488685180042E-2</v>
      </c>
      <c r="L28" s="16">
        <f t="shared" si="10"/>
        <v>8.714890166303714E-2</v>
      </c>
      <c r="M28" s="16">
        <f t="shared" si="10"/>
        <v>8.9622501112340852E-2</v>
      </c>
    </row>
    <row r="30" spans="2:13" x14ac:dyDescent="0.3">
      <c r="B30" t="s">
        <v>24</v>
      </c>
      <c r="C30" s="39">
        <f>IFERROR('Data Sheet'!B29,0)</f>
        <v>2087.5</v>
      </c>
      <c r="D30" s="39">
        <f>IFERROR('Data Sheet'!C29,0)</f>
        <v>2616.1999999999998</v>
      </c>
      <c r="E30" s="39">
        <f>IFERROR('Data Sheet'!D29,0)</f>
        <v>3286.2</v>
      </c>
      <c r="F30" s="39">
        <f>IFERROR('Data Sheet'!E29,0)</f>
        <v>2973.2</v>
      </c>
      <c r="G30" s="39">
        <f>IFERROR('Data Sheet'!F29,0)</f>
        <v>1425.2</v>
      </c>
      <c r="H30" s="39">
        <f>IFERROR('Data Sheet'!G29,0)</f>
        <v>931.9</v>
      </c>
      <c r="I30" s="39">
        <f>IFERROR('Data Sheet'!H29,0)</f>
        <v>817.7</v>
      </c>
      <c r="J30" s="39">
        <f>IFERROR('Data Sheet'!I29,0)</f>
        <v>2112.1</v>
      </c>
      <c r="K30" s="39">
        <f>IFERROR('Data Sheet'!J29,0)</f>
        <v>3936.3</v>
      </c>
      <c r="L30" s="39">
        <f>IFERROR('Data Sheet'!K29,0)</f>
        <v>5119.8</v>
      </c>
      <c r="M30" s="39">
        <f>IFERROR(SUM('Data Sheet'!B48:K48),0)</f>
        <v>11509.6</v>
      </c>
    </row>
    <row r="31" spans="2:13" x14ac:dyDescent="0.3">
      <c r="B31" s="11" t="s">
        <v>68</v>
      </c>
      <c r="C31" s="16">
        <f>C30/C27</f>
        <v>0.33822099805573569</v>
      </c>
      <c r="D31" s="16">
        <f t="shared" ref="D31:M31" si="11">D30/D27</f>
        <v>0.35343069046107312</v>
      </c>
      <c r="E31" s="16">
        <f t="shared" si="11"/>
        <v>0.35249444903300581</v>
      </c>
      <c r="F31" s="16">
        <f t="shared" si="11"/>
        <v>0.36303694839922823</v>
      </c>
      <c r="G31" s="16">
        <f t="shared" si="11"/>
        <v>0.40204237072978027</v>
      </c>
      <c r="H31" s="16">
        <f t="shared" si="11"/>
        <v>0.35789999231891839</v>
      </c>
      <c r="I31" s="16">
        <f t="shared" si="11"/>
        <v>0.28972823583601937</v>
      </c>
      <c r="J31" s="16">
        <f t="shared" si="11"/>
        <v>0.27243060571664418</v>
      </c>
      <c r="K31" s="16">
        <f t="shared" si="11"/>
        <v>0.30432093515891345</v>
      </c>
      <c r="L31" s="16">
        <f t="shared" si="11"/>
        <v>0.3841905419399379</v>
      </c>
      <c r="M31" s="16">
        <f t="shared" si="11"/>
        <v>0.32670161823688582</v>
      </c>
    </row>
    <row r="33" spans="1:13" x14ac:dyDescent="0.3">
      <c r="B33" s="41" t="s">
        <v>72</v>
      </c>
      <c r="C33" s="44">
        <f>C27-C30</f>
        <v>4084.4999999999982</v>
      </c>
      <c r="D33" s="44">
        <f t="shared" ref="D33:M33" si="12">D27-D30</f>
        <v>4786.0999999999958</v>
      </c>
      <c r="E33" s="44">
        <f t="shared" si="12"/>
        <v>6036.49999999999</v>
      </c>
      <c r="F33" s="44">
        <f t="shared" si="12"/>
        <v>5216.6000000000013</v>
      </c>
      <c r="G33" s="44">
        <f t="shared" si="12"/>
        <v>2119.7000000000044</v>
      </c>
      <c r="H33" s="44">
        <f t="shared" si="12"/>
        <v>1671.9000000000005</v>
      </c>
      <c r="I33" s="44">
        <f t="shared" si="12"/>
        <v>2004.6000000000088</v>
      </c>
      <c r="J33" s="44">
        <f t="shared" si="12"/>
        <v>5640.7000000000025</v>
      </c>
      <c r="K33" s="44">
        <f t="shared" si="12"/>
        <v>8998.4000000000087</v>
      </c>
      <c r="L33" s="44">
        <f t="shared" si="12"/>
        <v>8206.3999999999978</v>
      </c>
      <c r="M33" s="44">
        <f t="shared" si="12"/>
        <v>23720.099999999955</v>
      </c>
    </row>
    <row r="34" spans="1:13" x14ac:dyDescent="0.3">
      <c r="B34" s="11" t="s">
        <v>73</v>
      </c>
      <c r="C34" s="16">
        <f>C33/C6</f>
        <v>7.0925003038774734E-2</v>
      </c>
      <c r="D34" s="16">
        <f t="shared" ref="D34:M34" si="13">D33/D6</f>
        <v>7.0295953587427421E-2</v>
      </c>
      <c r="E34" s="16">
        <f t="shared" si="13"/>
        <v>7.5636453851300606E-2</v>
      </c>
      <c r="F34" s="16">
        <f t="shared" si="13"/>
        <v>6.0609863074179302E-2</v>
      </c>
      <c r="G34" s="16">
        <f t="shared" si="13"/>
        <v>2.8016124768702147E-2</v>
      </c>
      <c r="H34" s="16">
        <f t="shared" si="13"/>
        <v>2.3758028761439218E-2</v>
      </c>
      <c r="I34" s="16">
        <f t="shared" si="13"/>
        <v>2.2694492685367891E-2</v>
      </c>
      <c r="J34" s="16">
        <f t="shared" si="13"/>
        <v>4.7976844689137592E-2</v>
      </c>
      <c r="K34" s="16">
        <f t="shared" si="13"/>
        <v>6.3432357100259323E-2</v>
      </c>
      <c r="L34" s="16">
        <f t="shared" si="13"/>
        <v>5.3667117903644541E-2</v>
      </c>
      <c r="M34" s="16">
        <f t="shared" si="13"/>
        <v>6.0342684968502008E-2</v>
      </c>
    </row>
    <row r="36" spans="1:13" x14ac:dyDescent="0.3">
      <c r="B36" t="s">
        <v>116</v>
      </c>
      <c r="C36" s="17">
        <f>IFERROR('Data Sheet'!B93,0)</f>
        <v>30.21</v>
      </c>
      <c r="D36" s="17">
        <f>IFERROR('Data Sheet'!C93,0)</f>
        <v>30.21</v>
      </c>
      <c r="E36" s="17">
        <f>IFERROR('Data Sheet'!D93,0)</f>
        <v>30.21</v>
      </c>
      <c r="F36" s="17">
        <f>IFERROR('Data Sheet'!E93,0)</f>
        <v>30.21</v>
      </c>
      <c r="G36" s="17">
        <f>IFERROR('Data Sheet'!F93,0)</f>
        <v>30.21</v>
      </c>
      <c r="H36" s="17">
        <f>IFERROR('Data Sheet'!G93,0)</f>
        <v>30.21</v>
      </c>
      <c r="I36" s="17">
        <f>IFERROR('Data Sheet'!H93,0)</f>
        <v>30.21</v>
      </c>
      <c r="J36" s="17">
        <f>IFERROR('Data Sheet'!I93,0)</f>
        <v>30.21</v>
      </c>
      <c r="K36" s="17">
        <f>IFERROR('Data Sheet'!J93,0)</f>
        <v>31.44</v>
      </c>
      <c r="L36" s="17">
        <f>IFERROR('Data Sheet'!K93,0)</f>
        <v>31.44</v>
      </c>
      <c r="M36" s="17">
        <f>L36</f>
        <v>31.44</v>
      </c>
    </row>
    <row r="38" spans="1:13" x14ac:dyDescent="0.3">
      <c r="B38" t="s">
        <v>74</v>
      </c>
      <c r="C38" s="39">
        <f>C33/C36</f>
        <v>135.20357497517372</v>
      </c>
      <c r="D38" s="39">
        <f t="shared" ref="D38:M38" si="14">D33/D36</f>
        <v>158.42767295597471</v>
      </c>
      <c r="E38" s="39">
        <f t="shared" si="14"/>
        <v>199.81794107911253</v>
      </c>
      <c r="F38" s="39">
        <f t="shared" si="14"/>
        <v>172.67792121813972</v>
      </c>
      <c r="G38" s="39">
        <f t="shared" si="14"/>
        <v>70.16550810989753</v>
      </c>
      <c r="H38" s="39">
        <f t="shared" si="14"/>
        <v>55.342601787487602</v>
      </c>
      <c r="I38" s="39">
        <f t="shared" si="14"/>
        <v>66.355511420059869</v>
      </c>
      <c r="J38" s="39">
        <f t="shared" si="14"/>
        <v>186.71631909963597</v>
      </c>
      <c r="K38" s="39">
        <f t="shared" si="14"/>
        <v>286.20865139949137</v>
      </c>
      <c r="L38" s="39">
        <f t="shared" si="14"/>
        <v>261.01781170483451</v>
      </c>
      <c r="M38" s="39">
        <f t="shared" si="14"/>
        <v>754.45610687022759</v>
      </c>
    </row>
    <row r="39" spans="1:13" x14ac:dyDescent="0.3">
      <c r="B39" s="11" t="s">
        <v>75</v>
      </c>
      <c r="C39" s="15" t="s">
        <v>79</v>
      </c>
      <c r="D39" s="16">
        <f>D38/C38-1</f>
        <v>0.17177133064022487</v>
      </c>
      <c r="E39" s="16">
        <f t="shared" ref="E39:M39" si="15">E38/D38-1</f>
        <v>0.26125655544179915</v>
      </c>
      <c r="F39" s="16">
        <f t="shared" si="15"/>
        <v>-0.13582373892155886</v>
      </c>
      <c r="G39" s="16">
        <f t="shared" si="15"/>
        <v>-0.59366253881838671</v>
      </c>
      <c r="H39" s="16">
        <f t="shared" si="15"/>
        <v>-0.21125630985516963</v>
      </c>
      <c r="I39" s="16">
        <f t="shared" si="15"/>
        <v>0.19899515521263722</v>
      </c>
      <c r="J39" s="16">
        <f t="shared" si="15"/>
        <v>1.8138780804150345</v>
      </c>
      <c r="K39" s="16">
        <f t="shared" si="15"/>
        <v>0.5328529010191343</v>
      </c>
      <c r="L39" s="16">
        <f t="shared" si="15"/>
        <v>-8.801564722617472E-2</v>
      </c>
      <c r="M39" s="16">
        <f t="shared" si="15"/>
        <v>1.8904391694287339</v>
      </c>
    </row>
    <row r="41" spans="1:13" x14ac:dyDescent="0.3">
      <c r="B41" t="s">
        <v>76</v>
      </c>
      <c r="C41" s="39">
        <f>IFERROR(SUM('Data Sheet'!B31/HistoricalFS!C36),0)</f>
        <v>34.988414432307181</v>
      </c>
      <c r="D41" s="39">
        <f>IFERROR(SUM('Data Sheet'!C31/HistoricalFS!D36),0)</f>
        <v>74.975173783515388</v>
      </c>
      <c r="E41" s="39">
        <f>IFERROR(SUM('Data Sheet'!D31/HistoricalFS!E36),0)</f>
        <v>79.973518702416413</v>
      </c>
      <c r="F41" s="39">
        <f>IFERROR(SUM('Data Sheet'!E31/HistoricalFS!F36),0)</f>
        <v>79.973518702416413</v>
      </c>
      <c r="G41" s="39">
        <f>IFERROR(SUM('Data Sheet'!F31/HistoricalFS!G36),0)</f>
        <v>59.98013902681231</v>
      </c>
      <c r="H41" s="39">
        <f>IFERROR(SUM('Data Sheet'!G31/HistoricalFS!H36),0)</f>
        <v>44.985104270109233</v>
      </c>
      <c r="I41" s="39">
        <f>IFERROR(SUM('Data Sheet'!H31/HistoricalFS!I36),0)</f>
        <v>59.98013902681231</v>
      </c>
      <c r="J41" s="39">
        <f>IFERROR(SUM('Data Sheet'!I31/HistoricalFS!J36),0)</f>
        <v>89.970208540218465</v>
      </c>
      <c r="K41" s="39">
        <f>IFERROR(SUM('Data Sheet'!J31/HistoricalFS!K36),0)</f>
        <v>125</v>
      </c>
      <c r="L41" s="39">
        <f>IFERROR(SUM('Data Sheet'!K31/HistoricalFS!L36),0)</f>
        <v>134.99999999999997</v>
      </c>
      <c r="M41" s="39">
        <f>IFERROR(SUM('Data Sheet'!L31/HistoricalFS!M36),0)</f>
        <v>0</v>
      </c>
    </row>
    <row r="42" spans="1:13" x14ac:dyDescent="0.3">
      <c r="B42" s="11" t="s">
        <v>77</v>
      </c>
      <c r="C42" s="16">
        <f>IFERROR(C41/C38,0)</f>
        <v>0.25878320479862904</v>
      </c>
      <c r="D42" s="16">
        <f t="shared" ref="D42:M42" si="16">IFERROR(D41/D38,0)</f>
        <v>0.47324543991976803</v>
      </c>
      <c r="E42" s="16">
        <f t="shared" si="16"/>
        <v>0.40023192247163158</v>
      </c>
      <c r="F42" s="16">
        <f t="shared" si="16"/>
        <v>0.46313690909787975</v>
      </c>
      <c r="G42" s="16">
        <f t="shared" si="16"/>
        <v>0.85483794876633301</v>
      </c>
      <c r="H42" s="16">
        <f t="shared" si="16"/>
        <v>0.81284765835277206</v>
      </c>
      <c r="I42" s="16">
        <f t="shared" si="16"/>
        <v>0.90392098174198943</v>
      </c>
      <c r="J42" s="16">
        <f t="shared" si="16"/>
        <v>0.48185508890740486</v>
      </c>
      <c r="K42" s="16">
        <f t="shared" si="16"/>
        <v>0.43674431009957282</v>
      </c>
      <c r="L42" s="16">
        <f t="shared" si="16"/>
        <v>0.51720608305712623</v>
      </c>
      <c r="M42" s="16">
        <f t="shared" si="16"/>
        <v>0</v>
      </c>
    </row>
    <row r="44" spans="1:13" x14ac:dyDescent="0.3">
      <c r="B44" t="s">
        <v>78</v>
      </c>
      <c r="C44" s="18">
        <f>IFERROR(IF(C38&gt;C41,1-C42,0),0)</f>
        <v>0.74121679520137096</v>
      </c>
      <c r="D44" s="18">
        <f t="shared" ref="D44:M44" si="17">IFERROR(IF(D38&gt;D41,1-D42,0),0)</f>
        <v>0.52675456008023192</v>
      </c>
      <c r="E44" s="18">
        <f t="shared" si="17"/>
        <v>0.59976807752836847</v>
      </c>
      <c r="F44" s="18">
        <f t="shared" si="17"/>
        <v>0.53686309090212025</v>
      </c>
      <c r="G44" s="18">
        <f t="shared" si="17"/>
        <v>0.14516205123366699</v>
      </c>
      <c r="H44" s="18">
        <f t="shared" si="17"/>
        <v>0.18715234164722794</v>
      </c>
      <c r="I44" s="18">
        <f t="shared" si="17"/>
        <v>9.6079018258010573E-2</v>
      </c>
      <c r="J44" s="18">
        <f t="shared" si="17"/>
        <v>0.51814491109259508</v>
      </c>
      <c r="K44" s="18">
        <f t="shared" si="17"/>
        <v>0.56325568990042718</v>
      </c>
      <c r="L44" s="18">
        <f t="shared" si="17"/>
        <v>0.48279391694287377</v>
      </c>
      <c r="M44" s="18">
        <f t="shared" si="17"/>
        <v>1</v>
      </c>
    </row>
    <row r="46" spans="1:13" x14ac:dyDescent="0.3">
      <c r="A46" t="s">
        <v>56</v>
      </c>
      <c r="B46" s="14" t="s">
        <v>81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spans="1:13" x14ac:dyDescent="0.3">
      <c r="B47" t="s">
        <v>31</v>
      </c>
      <c r="C47" s="39">
        <f>IFERROR('Data Sheet'!B57,0)</f>
        <v>151</v>
      </c>
      <c r="D47" s="39">
        <f>IFERROR('Data Sheet'!C57,0)</f>
        <v>151</v>
      </c>
      <c r="E47" s="39">
        <f>IFERROR('Data Sheet'!D57,0)</f>
        <v>151</v>
      </c>
      <c r="F47" s="39">
        <f>IFERROR('Data Sheet'!E57,0)</f>
        <v>151</v>
      </c>
      <c r="G47" s="39">
        <f>IFERROR('Data Sheet'!F57,0)</f>
        <v>151</v>
      </c>
      <c r="H47" s="39">
        <f>IFERROR('Data Sheet'!G57,0)</f>
        <v>151</v>
      </c>
      <c r="I47" s="39">
        <f>IFERROR('Data Sheet'!H57,0)</f>
        <v>151</v>
      </c>
      <c r="J47" s="39">
        <f>IFERROR('Data Sheet'!I57,0)</f>
        <v>151</v>
      </c>
      <c r="K47" s="39">
        <f>IFERROR('Data Sheet'!J57,0)</f>
        <v>157.19999999999999</v>
      </c>
      <c r="L47" s="39">
        <f>IFERROR('Data Sheet'!K57,0)</f>
        <v>157.19999999999999</v>
      </c>
    </row>
    <row r="48" spans="1:13" x14ac:dyDescent="0.3">
      <c r="B48" t="s">
        <v>32</v>
      </c>
      <c r="C48" s="39">
        <f>IFERROR('Data Sheet'!B58,0)</f>
        <v>30465</v>
      </c>
      <c r="D48" s="39">
        <f>IFERROR('Data Sheet'!C58,0)</f>
        <v>36924.1</v>
      </c>
      <c r="E48" s="39">
        <f>IFERROR('Data Sheet'!D58,0)</f>
        <v>42408.4</v>
      </c>
      <c r="F48" s="39">
        <f>IFERROR('Data Sheet'!E58,0)</f>
        <v>46941.1</v>
      </c>
      <c r="G48" s="39">
        <f>IFERROR('Data Sheet'!F58,0)</f>
        <v>49262</v>
      </c>
      <c r="H48" s="39">
        <f>IFERROR('Data Sheet'!G58,0)</f>
        <v>52349.599999999999</v>
      </c>
      <c r="I48" s="39">
        <f>IFERROR('Data Sheet'!H58,0)</f>
        <v>55182.5</v>
      </c>
      <c r="J48" s="39">
        <f>IFERROR('Data Sheet'!I58,0)</f>
        <v>61640.3</v>
      </c>
      <c r="K48" s="39">
        <f>IFERROR('Data Sheet'!J58,0)</f>
        <v>85478.8</v>
      </c>
      <c r="L48" s="39">
        <f>IFERROR('Data Sheet'!K58,0)</f>
        <v>96082.7</v>
      </c>
    </row>
    <row r="49" spans="2:12" x14ac:dyDescent="0.3">
      <c r="B49" t="s">
        <v>33</v>
      </c>
      <c r="C49" s="39">
        <f>IFERROR('Data Sheet'!B59,0)</f>
        <v>230.9</v>
      </c>
      <c r="D49" s="39">
        <f>IFERROR('Data Sheet'!C59,0)</f>
        <v>483.6</v>
      </c>
      <c r="E49" s="39">
        <f>IFERROR('Data Sheet'!D59,0)</f>
        <v>120.8</v>
      </c>
      <c r="F49" s="39">
        <f>IFERROR('Data Sheet'!E59,0)</f>
        <v>159.6</v>
      </c>
      <c r="G49" s="39">
        <f>IFERROR('Data Sheet'!F59,0)</f>
        <v>184.1</v>
      </c>
      <c r="H49" s="39">
        <f>IFERROR('Data Sheet'!G59,0)</f>
        <v>540.9</v>
      </c>
      <c r="I49" s="39">
        <f>IFERROR('Data Sheet'!H59,0)</f>
        <v>425.5</v>
      </c>
      <c r="J49" s="39">
        <f>IFERROR('Data Sheet'!I59,0)</f>
        <v>1247.3</v>
      </c>
      <c r="K49" s="39">
        <f>IFERROR('Data Sheet'!J59,0)</f>
        <v>118.6</v>
      </c>
      <c r="L49" s="39">
        <f>IFERROR('Data Sheet'!K59,0)</f>
        <v>87</v>
      </c>
    </row>
    <row r="50" spans="2:12" x14ac:dyDescent="0.3">
      <c r="B50" t="s">
        <v>34</v>
      </c>
      <c r="C50" s="39">
        <f>IFERROR('Data Sheet'!B60,0)</f>
        <v>11878.6</v>
      </c>
      <c r="D50" s="39">
        <f>IFERROR('Data Sheet'!C60,0)</f>
        <v>14401.8</v>
      </c>
      <c r="E50" s="39">
        <f>IFERROR('Data Sheet'!D60,0)</f>
        <v>17568.2</v>
      </c>
      <c r="F50" s="39">
        <f>IFERROR('Data Sheet'!E60,0)</f>
        <v>16717</v>
      </c>
      <c r="G50" s="39">
        <f>IFERROR('Data Sheet'!F60,0)</f>
        <v>14030.6</v>
      </c>
      <c r="H50" s="39">
        <f>IFERROR('Data Sheet'!G60,0)</f>
        <v>18334.599999999999</v>
      </c>
      <c r="I50" s="39">
        <f>IFERROR('Data Sheet'!H60,0)</f>
        <v>18896.5</v>
      </c>
      <c r="J50" s="39">
        <f>IFERROR('Data Sheet'!I60,0)</f>
        <v>21558.3</v>
      </c>
      <c r="K50" s="39">
        <f>IFERROR('Data Sheet'!J60,0)</f>
        <v>29549.5</v>
      </c>
      <c r="L50" s="39">
        <f>IFERROR('Data Sheet'!K60,0)</f>
        <v>35644.300000000003</v>
      </c>
    </row>
    <row r="51" spans="2:12" x14ac:dyDescent="0.3">
      <c r="B51" s="41" t="s">
        <v>82</v>
      </c>
      <c r="C51" s="44">
        <f>IFERROR('Data Sheet'!B61,0)</f>
        <v>42725.5</v>
      </c>
      <c r="D51" s="44">
        <f>IFERROR('Data Sheet'!C61,0)</f>
        <v>51960.5</v>
      </c>
      <c r="E51" s="44">
        <f>IFERROR('Data Sheet'!D61,0)</f>
        <v>60248.4</v>
      </c>
      <c r="F51" s="44">
        <f>IFERROR('Data Sheet'!E61,0)</f>
        <v>63968.7</v>
      </c>
      <c r="G51" s="44">
        <f>IFERROR('Data Sheet'!F61,0)</f>
        <v>63627.7</v>
      </c>
      <c r="H51" s="44">
        <f>IFERROR('Data Sheet'!G61,0)</f>
        <v>71376.100000000006</v>
      </c>
      <c r="I51" s="44">
        <f>IFERROR('Data Sheet'!H61,0)</f>
        <v>74655.5</v>
      </c>
      <c r="J51" s="44">
        <f>IFERROR('Data Sheet'!I61,0)</f>
        <v>84596.9</v>
      </c>
      <c r="K51" s="44">
        <f>IFERROR('Data Sheet'!J61,0)</f>
        <v>115304.1</v>
      </c>
      <c r="L51" s="44">
        <f>IFERROR('Data Sheet'!K61,0)</f>
        <v>131971.20000000001</v>
      </c>
    </row>
    <row r="52" spans="2:12" x14ac:dyDescent="0.3"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2:12" x14ac:dyDescent="0.3">
      <c r="B53" t="s">
        <v>83</v>
      </c>
      <c r="C53" s="39">
        <f>IFERROR('Data Sheet'!B62,0)</f>
        <v>12529.6</v>
      </c>
      <c r="D53" s="39">
        <f>IFERROR('Data Sheet'!C62,0)</f>
        <v>13310.7</v>
      </c>
      <c r="E53" s="39">
        <f>IFERROR('Data Sheet'!D62,0)</f>
        <v>13388.8</v>
      </c>
      <c r="F53" s="39">
        <f>IFERROR('Data Sheet'!E62,0)</f>
        <v>15437.3</v>
      </c>
      <c r="G53" s="39">
        <f>IFERROR('Data Sheet'!F62,0)</f>
        <v>15744.4</v>
      </c>
      <c r="H53" s="39">
        <f>IFERROR('Data Sheet'!G62,0)</f>
        <v>14988.7</v>
      </c>
      <c r="I53" s="39">
        <f>IFERROR('Data Sheet'!H62,0)</f>
        <v>13747.2</v>
      </c>
      <c r="J53" s="39">
        <f>IFERROR('Data Sheet'!I62,0)</f>
        <v>17830.400000000001</v>
      </c>
      <c r="K53" s="39">
        <f>IFERROR('Data Sheet'!J62,0)</f>
        <v>27864.799999999999</v>
      </c>
      <c r="L53" s="39">
        <f>IFERROR('Data Sheet'!K62,0)</f>
        <v>32982.699999999997</v>
      </c>
    </row>
    <row r="54" spans="2:12" x14ac:dyDescent="0.3">
      <c r="B54" t="s">
        <v>37</v>
      </c>
      <c r="C54" s="39">
        <f>IFERROR('Data Sheet'!B63,0)</f>
        <v>1006.9</v>
      </c>
      <c r="D54" s="39">
        <f>IFERROR('Data Sheet'!C63,0)</f>
        <v>1252.3</v>
      </c>
      <c r="E54" s="39">
        <f>IFERROR('Data Sheet'!D63,0)</f>
        <v>2132.1</v>
      </c>
      <c r="F54" s="39">
        <f>IFERROR('Data Sheet'!E63,0)</f>
        <v>1606.9</v>
      </c>
      <c r="G54" s="39">
        <f>IFERROR('Data Sheet'!F63,0)</f>
        <v>1415.2</v>
      </c>
      <c r="H54" s="39">
        <f>IFERROR('Data Sheet'!G63,0)</f>
        <v>1496.8</v>
      </c>
      <c r="I54" s="39">
        <f>IFERROR('Data Sheet'!H63,0)</f>
        <v>2936.5</v>
      </c>
      <c r="J54" s="39">
        <f>IFERROR('Data Sheet'!I63,0)</f>
        <v>2904.1</v>
      </c>
      <c r="K54" s="39">
        <f>IFERROR('Data Sheet'!J63,0)</f>
        <v>7734.8</v>
      </c>
      <c r="L54" s="39">
        <f>IFERROR('Data Sheet'!K63,0)</f>
        <v>7929</v>
      </c>
    </row>
    <row r="55" spans="2:12" x14ac:dyDescent="0.3">
      <c r="B55" t="s">
        <v>38</v>
      </c>
      <c r="C55" s="39">
        <f>IFERROR('Data Sheet'!B64,0)</f>
        <v>20675.8</v>
      </c>
      <c r="D55" s="39">
        <f>IFERROR('Data Sheet'!C64,0)</f>
        <v>29150.6</v>
      </c>
      <c r="E55" s="39">
        <f>IFERROR('Data Sheet'!D64,0)</f>
        <v>36123.1</v>
      </c>
      <c r="F55" s="39">
        <f>IFERROR('Data Sheet'!E64,0)</f>
        <v>37503.599999999999</v>
      </c>
      <c r="G55" s="39">
        <f>IFERROR('Data Sheet'!F64,0)</f>
        <v>37488</v>
      </c>
      <c r="H55" s="39">
        <f>IFERROR('Data Sheet'!G64,0)</f>
        <v>42944.800000000003</v>
      </c>
      <c r="I55" s="39">
        <f>IFERROR('Data Sheet'!H64,0)</f>
        <v>42034.7</v>
      </c>
      <c r="J55" s="39">
        <f>IFERROR('Data Sheet'!I64,0)</f>
        <v>49184.3</v>
      </c>
      <c r="K55" s="39">
        <f>IFERROR('Data Sheet'!J64,0)</f>
        <v>57296</v>
      </c>
      <c r="L55" s="39">
        <f>IFERROR('Data Sheet'!K64,0)</f>
        <v>66265.399999999994</v>
      </c>
    </row>
    <row r="56" spans="2:12" x14ac:dyDescent="0.3">
      <c r="B56" t="s">
        <v>39</v>
      </c>
      <c r="C56" s="39">
        <f>IFERROR('Data Sheet'!B65-SUM('Data Sheet'!B67:B69),0)</f>
        <v>4006.5000000000009</v>
      </c>
      <c r="D56" s="39">
        <f>IFERROR('Data Sheet'!C65-SUM('Data Sheet'!C67:C69),0)</f>
        <v>3757.1000000000004</v>
      </c>
      <c r="E56" s="39">
        <f>IFERROR('Data Sheet'!D65-SUM('Data Sheet'!D67:D69),0)</f>
        <v>3904.7999999999993</v>
      </c>
      <c r="F56" s="39">
        <f>IFERROR('Data Sheet'!E65-SUM('Data Sheet'!E67:E69),0)</f>
        <v>3597.7</v>
      </c>
      <c r="G56" s="39">
        <f>IFERROR('Data Sheet'!F65-SUM('Data Sheet'!F67:F69),0)</f>
        <v>3759.5</v>
      </c>
      <c r="H56" s="39">
        <f>IFERROR('Data Sheet'!G65-SUM('Data Sheet'!G67:G69),0)</f>
        <v>4569.7999999999993</v>
      </c>
      <c r="I56" s="39">
        <f>IFERROR('Data Sheet'!H65-SUM('Data Sheet'!H67:H69),0)</f>
        <v>7328.1</v>
      </c>
      <c r="J56" s="39">
        <f>IFERROR('Data Sheet'!I65-SUM('Data Sheet'!I67:I69),0)</f>
        <v>7051.6</v>
      </c>
      <c r="K56" s="39">
        <f>IFERROR('Data Sheet'!J65-SUM('Data Sheet'!J67:J69),0)</f>
        <v>9666.1999999999989</v>
      </c>
      <c r="L56" s="39">
        <f>IFERROR('Data Sheet'!K65-SUM('Data Sheet'!K67:K69),0)</f>
        <v>10788.3</v>
      </c>
    </row>
    <row r="57" spans="2:12" x14ac:dyDescent="0.3">
      <c r="B57" s="41" t="s">
        <v>84</v>
      </c>
      <c r="C57" s="44">
        <f>SUM(C53:C56)</f>
        <v>38218.800000000003</v>
      </c>
      <c r="D57" s="44">
        <f t="shared" ref="D57:L57" si="18">SUM(D53:D56)</f>
        <v>47470.7</v>
      </c>
      <c r="E57" s="44">
        <f t="shared" si="18"/>
        <v>55548.800000000003</v>
      </c>
      <c r="F57" s="44">
        <f t="shared" si="18"/>
        <v>58145.5</v>
      </c>
      <c r="G57" s="44">
        <f t="shared" si="18"/>
        <v>58407.1</v>
      </c>
      <c r="H57" s="44">
        <f t="shared" si="18"/>
        <v>64000.100000000006</v>
      </c>
      <c r="I57" s="44">
        <f t="shared" si="18"/>
        <v>66046.5</v>
      </c>
      <c r="J57" s="44">
        <f t="shared" si="18"/>
        <v>76970.400000000009</v>
      </c>
      <c r="K57" s="44">
        <f t="shared" si="18"/>
        <v>102561.8</v>
      </c>
      <c r="L57" s="44">
        <f t="shared" si="18"/>
        <v>117965.4</v>
      </c>
    </row>
    <row r="58" spans="2:12" x14ac:dyDescent="0.3">
      <c r="B58" s="1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2:12" x14ac:dyDescent="0.3">
      <c r="B59" t="s">
        <v>40</v>
      </c>
      <c r="C59" s="39">
        <f>IFERROR('Data Sheet'!B67,0)</f>
        <v>1323.4</v>
      </c>
      <c r="D59" s="39">
        <f>IFERROR('Data Sheet'!C67,0)</f>
        <v>1202.5999999999999</v>
      </c>
      <c r="E59" s="39">
        <f>IFERROR('Data Sheet'!D67,0)</f>
        <v>1465.4</v>
      </c>
      <c r="F59" s="39">
        <f>IFERROR('Data Sheet'!E67,0)</f>
        <v>2312.8000000000002</v>
      </c>
      <c r="G59" s="39">
        <f>IFERROR('Data Sheet'!F67,0)</f>
        <v>1977.7</v>
      </c>
      <c r="H59" s="39">
        <f>IFERROR('Data Sheet'!G67,0)</f>
        <v>1279.9000000000001</v>
      </c>
      <c r="I59" s="39">
        <f>IFERROR('Data Sheet'!H67,0)</f>
        <v>2034.5</v>
      </c>
      <c r="J59" s="39">
        <f>IFERROR('Data Sheet'!I67,0)</f>
        <v>3301.4</v>
      </c>
      <c r="K59" s="39">
        <f>IFERROR('Data Sheet'!J67,0)</f>
        <v>4596.8</v>
      </c>
      <c r="L59" s="39">
        <f>IFERROR('Data Sheet'!K67,0)</f>
        <v>6539.7</v>
      </c>
    </row>
    <row r="60" spans="2:12" x14ac:dyDescent="0.3">
      <c r="B60" t="s">
        <v>41</v>
      </c>
      <c r="C60" s="39">
        <f>IFERROR('Data Sheet'!B68,0)</f>
        <v>3132.6</v>
      </c>
      <c r="D60" s="39">
        <f>IFERROR('Data Sheet'!C68,0)</f>
        <v>3263.7</v>
      </c>
      <c r="E60" s="39">
        <f>IFERROR('Data Sheet'!D68,0)</f>
        <v>3160.2</v>
      </c>
      <c r="F60" s="39">
        <f>IFERROR('Data Sheet'!E68,0)</f>
        <v>3322.6</v>
      </c>
      <c r="G60" s="39">
        <f>IFERROR('Data Sheet'!F68,0)</f>
        <v>3213.9</v>
      </c>
      <c r="H60" s="39">
        <f>IFERROR('Data Sheet'!G68,0)</f>
        <v>3049</v>
      </c>
      <c r="I60" s="39">
        <f>IFERROR('Data Sheet'!H68,0)</f>
        <v>3532.3</v>
      </c>
      <c r="J60" s="39">
        <f>IFERROR('Data Sheet'!I68,0)</f>
        <v>4283.5</v>
      </c>
      <c r="K60" s="39">
        <f>IFERROR('Data Sheet'!J68,0)</f>
        <v>5318.1</v>
      </c>
      <c r="L60" s="39">
        <f>IFERROR('Data Sheet'!K68,0)</f>
        <v>6913.2</v>
      </c>
    </row>
    <row r="61" spans="2:12" x14ac:dyDescent="0.3">
      <c r="B61" t="s">
        <v>42</v>
      </c>
      <c r="C61" s="39">
        <f>IFERROR('Data Sheet'!B69,0)</f>
        <v>50.7</v>
      </c>
      <c r="D61" s="39">
        <f>IFERROR('Data Sheet'!C69,0)</f>
        <v>23.5</v>
      </c>
      <c r="E61" s="39">
        <f>IFERROR('Data Sheet'!D69,0)</f>
        <v>74</v>
      </c>
      <c r="F61" s="39">
        <f>IFERROR('Data Sheet'!E69,0)</f>
        <v>187.8</v>
      </c>
      <c r="G61" s="39">
        <f>IFERROR('Data Sheet'!F69,0)</f>
        <v>29</v>
      </c>
      <c r="H61" s="39">
        <f>IFERROR('Data Sheet'!G69,0)</f>
        <v>3047.1</v>
      </c>
      <c r="I61" s="39">
        <f>IFERROR('Data Sheet'!H69,0)</f>
        <v>3042.2</v>
      </c>
      <c r="J61" s="39">
        <f>IFERROR('Data Sheet'!I69,0)</f>
        <v>41.6</v>
      </c>
      <c r="K61" s="39">
        <f>IFERROR('Data Sheet'!J69,0)</f>
        <v>2827.4</v>
      </c>
      <c r="L61" s="39">
        <f>IFERROR('Data Sheet'!K69,0)</f>
        <v>552.9</v>
      </c>
    </row>
    <row r="62" spans="2:12" x14ac:dyDescent="0.3">
      <c r="B62" s="43" t="s">
        <v>85</v>
      </c>
      <c r="C62" s="44">
        <f>SUM(C59:C61)</f>
        <v>4506.7</v>
      </c>
      <c r="D62" s="44">
        <f t="shared" ref="D62:L62" si="19">SUM(D59:D61)</f>
        <v>4489.7999999999993</v>
      </c>
      <c r="E62" s="44">
        <f t="shared" si="19"/>
        <v>4699.6000000000004</v>
      </c>
      <c r="F62" s="44">
        <f t="shared" si="19"/>
        <v>5823.2</v>
      </c>
      <c r="G62" s="44">
        <f t="shared" si="19"/>
        <v>5220.6000000000004</v>
      </c>
      <c r="H62" s="44">
        <f t="shared" si="19"/>
        <v>7376</v>
      </c>
      <c r="I62" s="44">
        <f t="shared" si="19"/>
        <v>8609</v>
      </c>
      <c r="J62" s="44">
        <f t="shared" si="19"/>
        <v>7626.5</v>
      </c>
      <c r="K62" s="44">
        <f t="shared" si="19"/>
        <v>12742.300000000001</v>
      </c>
      <c r="L62" s="44">
        <f t="shared" si="19"/>
        <v>14005.8</v>
      </c>
    </row>
    <row r="63" spans="2:12" x14ac:dyDescent="0.3"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2:12" x14ac:dyDescent="0.3">
      <c r="B64" s="43" t="s">
        <v>86</v>
      </c>
      <c r="C64" s="44">
        <f>C62+C57</f>
        <v>42725.5</v>
      </c>
      <c r="D64" s="44">
        <f t="shared" ref="D64:L64" si="20">D62+D57</f>
        <v>51960.5</v>
      </c>
      <c r="E64" s="44">
        <f t="shared" si="20"/>
        <v>60248.4</v>
      </c>
      <c r="F64" s="44">
        <f t="shared" si="20"/>
        <v>63968.7</v>
      </c>
      <c r="G64" s="44">
        <f t="shared" si="20"/>
        <v>63627.7</v>
      </c>
      <c r="H64" s="44">
        <f t="shared" si="20"/>
        <v>71376.100000000006</v>
      </c>
      <c r="I64" s="44">
        <f t="shared" si="20"/>
        <v>74655.5</v>
      </c>
      <c r="J64" s="44">
        <f t="shared" si="20"/>
        <v>84596.900000000009</v>
      </c>
      <c r="K64" s="44">
        <f t="shared" si="20"/>
        <v>115304.1</v>
      </c>
      <c r="L64" s="44">
        <f t="shared" si="20"/>
        <v>131971.19999999998</v>
      </c>
    </row>
    <row r="66" spans="1:12" x14ac:dyDescent="0.3">
      <c r="B66" s="10" t="s">
        <v>87</v>
      </c>
      <c r="C66" s="22" t="str">
        <f>IF(C64=C51,"TRUE","FALSE")</f>
        <v>TRUE</v>
      </c>
      <c r="D66" s="22" t="str">
        <f t="shared" ref="D66:L66" si="21">IF(D64=D51,"TRUE","FALSE")</f>
        <v>TRUE</v>
      </c>
      <c r="E66" s="22" t="str">
        <f t="shared" si="21"/>
        <v>TRUE</v>
      </c>
      <c r="F66" s="22" t="str">
        <f t="shared" si="21"/>
        <v>TRUE</v>
      </c>
      <c r="G66" s="22" t="str">
        <f t="shared" si="21"/>
        <v>TRUE</v>
      </c>
      <c r="H66" s="22" t="str">
        <f t="shared" si="21"/>
        <v>TRUE</v>
      </c>
      <c r="I66" s="22" t="str">
        <f t="shared" si="21"/>
        <v>TRUE</v>
      </c>
      <c r="J66" s="22" t="str">
        <f t="shared" si="21"/>
        <v>TRUE</v>
      </c>
      <c r="K66" s="22" t="str">
        <f t="shared" si="21"/>
        <v>TRUE</v>
      </c>
      <c r="L66" s="22" t="str">
        <f t="shared" si="21"/>
        <v>TRUE</v>
      </c>
    </row>
    <row r="68" spans="1:12" x14ac:dyDescent="0.3">
      <c r="A68" t="s">
        <v>56</v>
      </c>
      <c r="B68" s="14" t="s">
        <v>88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</row>
    <row r="69" spans="1:12" x14ac:dyDescent="0.3">
      <c r="B69" s="19" t="s">
        <v>89</v>
      </c>
    </row>
    <row r="70" spans="1:12" x14ac:dyDescent="0.3">
      <c r="B70" t="s">
        <v>90</v>
      </c>
      <c r="C70" s="39">
        <f>IFERROR('Cash Flow Data'!D4,0)</f>
        <v>6779</v>
      </c>
      <c r="D70" s="39">
        <f>IFERROR('Cash Flow Data'!E4,0)</f>
        <v>8935</v>
      </c>
      <c r="E70" s="39">
        <f>IFERROR('Cash Flow Data'!F4,0)</f>
        <v>10413</v>
      </c>
      <c r="F70" s="39">
        <f>IFERROR('Cash Flow Data'!G4,0)</f>
        <v>12036</v>
      </c>
      <c r="G70" s="39">
        <f>IFERROR('Cash Flow Data'!H4,0)</f>
        <v>11060</v>
      </c>
      <c r="H70" s="39">
        <f>IFERROR('Cash Flow Data'!I4,0)</f>
        <v>7503</v>
      </c>
      <c r="I70" s="39">
        <f>IFERROR('Cash Flow Data'!J4,0)</f>
        <v>5531</v>
      </c>
      <c r="J70" s="39">
        <f>IFERROR('Cash Flow Data'!K4,0)</f>
        <v>5832</v>
      </c>
      <c r="K70" s="39">
        <f>IFERROR('Cash Flow Data'!L4,0)</f>
        <v>11112</v>
      </c>
      <c r="L70" s="39">
        <f>IFERROR('Cash Flow Data'!M4,0)</f>
        <v>18676</v>
      </c>
    </row>
    <row r="71" spans="1:12" x14ac:dyDescent="0.3">
      <c r="B71" t="s">
        <v>40</v>
      </c>
      <c r="C71" s="39">
        <f>IFERROR('Cash Flow Data'!D5,0)</f>
        <v>345</v>
      </c>
      <c r="D71" s="39">
        <f>IFERROR('Cash Flow Data'!E5,0)</f>
        <v>-204</v>
      </c>
      <c r="E71" s="39">
        <f>IFERROR('Cash Flow Data'!F5,0)</f>
        <v>122</v>
      </c>
      <c r="F71" s="39">
        <f>IFERROR('Cash Flow Data'!G5,0)</f>
        <v>-262</v>
      </c>
      <c r="G71" s="39">
        <f>IFERROR('Cash Flow Data'!H5,0)</f>
        <v>-851</v>
      </c>
      <c r="H71" s="39">
        <f>IFERROR('Cash Flow Data'!I5,0)</f>
        <v>340</v>
      </c>
      <c r="I71" s="39">
        <f>IFERROR('Cash Flow Data'!J5,0)</f>
        <v>696</v>
      </c>
      <c r="J71" s="39">
        <f>IFERROR('Cash Flow Data'!K5,0)</f>
        <v>-764</v>
      </c>
      <c r="K71" s="39">
        <f>IFERROR('Cash Flow Data'!L5,0)</f>
        <v>-1258</v>
      </c>
      <c r="L71" s="39">
        <f>IFERROR('Cash Flow Data'!M5,0)</f>
        <v>-1316</v>
      </c>
    </row>
    <row r="72" spans="1:12" x14ac:dyDescent="0.3">
      <c r="B72" t="s">
        <v>41</v>
      </c>
      <c r="C72" s="39">
        <f>IFERROR('Cash Flow Data'!D6,0)</f>
        <v>-982</v>
      </c>
      <c r="D72" s="39">
        <f>IFERROR('Cash Flow Data'!E6,0)</f>
        <v>-450</v>
      </c>
      <c r="E72" s="39">
        <f>IFERROR('Cash Flow Data'!F6,0)</f>
        <v>-131</v>
      </c>
      <c r="F72" s="39">
        <f>IFERROR('Cash Flow Data'!G6,0)</f>
        <v>104</v>
      </c>
      <c r="G72" s="39">
        <f>IFERROR('Cash Flow Data'!H6,0)</f>
        <v>-162</v>
      </c>
      <c r="H72" s="39">
        <f>IFERROR('Cash Flow Data'!I6,0)</f>
        <v>109</v>
      </c>
      <c r="I72" s="39">
        <f>IFERROR('Cash Flow Data'!J6,0)</f>
        <v>165</v>
      </c>
      <c r="J72" s="39">
        <f>IFERROR('Cash Flow Data'!K6,0)</f>
        <v>-483</v>
      </c>
      <c r="K72" s="39">
        <f>IFERROR('Cash Flow Data'!L6,0)</f>
        <v>-751</v>
      </c>
      <c r="L72" s="39">
        <f>IFERROR('Cash Flow Data'!M6,0)</f>
        <v>125</v>
      </c>
    </row>
    <row r="73" spans="1:12" x14ac:dyDescent="0.3">
      <c r="B73" t="s">
        <v>91</v>
      </c>
      <c r="C73" s="39">
        <f>IFERROR('Cash Flow Data'!D7,0)</f>
        <v>712</v>
      </c>
      <c r="D73" s="39">
        <f>IFERROR('Cash Flow Data'!E7,0)</f>
        <v>1789</v>
      </c>
      <c r="E73" s="39">
        <f>IFERROR('Cash Flow Data'!F7,0)</f>
        <v>979</v>
      </c>
      <c r="F73" s="39">
        <f>IFERROR('Cash Flow Data'!G7,0)</f>
        <v>2128</v>
      </c>
      <c r="G73" s="39">
        <f>IFERROR('Cash Flow Data'!H7,0)</f>
        <v>-858</v>
      </c>
      <c r="H73" s="39">
        <f>IFERROR('Cash Flow Data'!I7,0)</f>
        <v>-2155</v>
      </c>
      <c r="I73" s="39">
        <f>IFERROR('Cash Flow Data'!J7,0)</f>
        <v>2680</v>
      </c>
      <c r="J73" s="39">
        <f>IFERROR('Cash Flow Data'!K7,0)</f>
        <v>-396</v>
      </c>
      <c r="K73" s="39">
        <f>IFERROR('Cash Flow Data'!L7,0)</f>
        <v>2008</v>
      </c>
      <c r="L73" s="39">
        <f>IFERROR('Cash Flow Data'!M7,0)</f>
        <v>3321</v>
      </c>
    </row>
    <row r="74" spans="1:12" x14ac:dyDescent="0.3">
      <c r="B74" t="s">
        <v>92</v>
      </c>
      <c r="C74" s="39">
        <f>IFERROR('Cash Flow Data'!D8,0)</f>
        <v>23</v>
      </c>
      <c r="D74" s="39">
        <f>IFERROR('Cash Flow Data'!E8,0)</f>
        <v>-1</v>
      </c>
      <c r="E74" s="39">
        <f>IFERROR('Cash Flow Data'!F8,0)</f>
        <v>1</v>
      </c>
      <c r="F74" s="39">
        <f>IFERROR('Cash Flow Data'!G8,0)</f>
        <v>0</v>
      </c>
      <c r="G74" s="39">
        <f>IFERROR('Cash Flow Data'!H8,0)</f>
        <v>-13</v>
      </c>
      <c r="H74" s="39">
        <f>IFERROR('Cash Flow Data'!I8,0)</f>
        <v>-1</v>
      </c>
      <c r="I74" s="39">
        <f>IFERROR('Cash Flow Data'!J8,0)</f>
        <v>-6</v>
      </c>
      <c r="J74" s="39">
        <f>IFERROR('Cash Flow Data'!K8,0)</f>
        <v>-8</v>
      </c>
      <c r="K74" s="39">
        <f>IFERROR('Cash Flow Data'!L8,0)</f>
        <v>1</v>
      </c>
      <c r="L74" s="39">
        <f>IFERROR('Cash Flow Data'!M8,0)</f>
        <v>-3</v>
      </c>
    </row>
    <row r="75" spans="1:12" x14ac:dyDescent="0.3">
      <c r="B75" t="s">
        <v>93</v>
      </c>
      <c r="C75" s="39">
        <f>IFERROR('Cash Flow Data'!D9,0)</f>
        <v>648</v>
      </c>
      <c r="D75" s="39">
        <f>IFERROR('Cash Flow Data'!E9,0)</f>
        <v>325</v>
      </c>
      <c r="E75" s="39">
        <f>IFERROR('Cash Flow Data'!F9,0)</f>
        <v>1222</v>
      </c>
      <c r="F75" s="39">
        <f>IFERROR('Cash Flow Data'!G9,0)</f>
        <v>839</v>
      </c>
      <c r="G75" s="39">
        <f>IFERROR('Cash Flow Data'!H9,0)</f>
        <v>569</v>
      </c>
      <c r="H75" s="39">
        <f>IFERROR('Cash Flow Data'!I9,0)</f>
        <v>-863</v>
      </c>
      <c r="I75" s="39">
        <f>IFERROR('Cash Flow Data'!J9,0)</f>
        <v>801</v>
      </c>
      <c r="J75" s="39">
        <f>IFERROR('Cash Flow Data'!K9,0)</f>
        <v>-1162</v>
      </c>
      <c r="K75" s="39">
        <f>IFERROR('Cash Flow Data'!L9,0)</f>
        <v>374</v>
      </c>
      <c r="L75" s="39">
        <f>IFERROR('Cash Flow Data'!M9,0)</f>
        <v>-406</v>
      </c>
    </row>
    <row r="76" spans="1:12" x14ac:dyDescent="0.3">
      <c r="B76" t="s">
        <v>94</v>
      </c>
      <c r="C76" s="39">
        <f>IFERROR('Cash Flow Data'!D10,0)</f>
        <v>745</v>
      </c>
      <c r="D76" s="39">
        <f>IFERROR('Cash Flow Data'!E10,0)</f>
        <v>1460</v>
      </c>
      <c r="E76" s="39">
        <f>IFERROR('Cash Flow Data'!F10,0)</f>
        <v>2192</v>
      </c>
      <c r="F76" s="39">
        <f>IFERROR('Cash Flow Data'!G10,0)</f>
        <v>2808</v>
      </c>
      <c r="G76" s="39">
        <f>IFERROR('Cash Flow Data'!H10,0)</f>
        <v>-1315</v>
      </c>
      <c r="H76" s="39">
        <f>IFERROR('Cash Flow Data'!I10,0)</f>
        <v>-2570</v>
      </c>
      <c r="I76" s="39">
        <f>IFERROR('Cash Flow Data'!J10,0)</f>
        <v>4336</v>
      </c>
      <c r="J76" s="39">
        <f>IFERROR('Cash Flow Data'!K10,0)</f>
        <v>-2813</v>
      </c>
      <c r="K76" s="39">
        <f>IFERROR('Cash Flow Data'!L10,0)</f>
        <v>373</v>
      </c>
      <c r="L76" s="39">
        <f>IFERROR('Cash Flow Data'!M10,0)</f>
        <v>1722</v>
      </c>
    </row>
    <row r="77" spans="1:12" x14ac:dyDescent="0.3">
      <c r="B77" t="s">
        <v>95</v>
      </c>
      <c r="C77" s="39">
        <f>IFERROR('Cash Flow Data'!D11,0)</f>
        <v>-1075</v>
      </c>
      <c r="D77" s="39">
        <f>IFERROR('Cash Flow Data'!E11,0)</f>
        <v>-1912</v>
      </c>
      <c r="E77" s="39">
        <f>IFERROR('Cash Flow Data'!F11,0)</f>
        <v>-2323</v>
      </c>
      <c r="F77" s="39">
        <f>IFERROR('Cash Flow Data'!G11,0)</f>
        <v>-3056</v>
      </c>
      <c r="G77" s="39">
        <f>IFERROR('Cash Flow Data'!H11,0)</f>
        <v>-3144</v>
      </c>
      <c r="H77" s="39">
        <f>IFERROR('Cash Flow Data'!I11,0)</f>
        <v>-1438</v>
      </c>
      <c r="I77" s="39">
        <f>IFERROR('Cash Flow Data'!J11,0)</f>
        <v>-1011</v>
      </c>
      <c r="J77" s="39">
        <f>IFERROR('Cash Flow Data'!K11,0)</f>
        <v>-1178</v>
      </c>
      <c r="K77" s="39">
        <f>IFERROR('Cash Flow Data'!L11,0)</f>
        <v>-2233</v>
      </c>
      <c r="L77" s="39">
        <f>IFERROR('Cash Flow Data'!M11,0)</f>
        <v>-3597</v>
      </c>
    </row>
    <row r="78" spans="1:12" x14ac:dyDescent="0.3">
      <c r="B78" s="41" t="s">
        <v>47</v>
      </c>
      <c r="C78" s="44">
        <f>SUM(C70:C77)</f>
        <v>7195</v>
      </c>
      <c r="D78" s="44">
        <f t="shared" ref="D78:L78" si="22">SUM(D70:D77)</f>
        <v>9942</v>
      </c>
      <c r="E78" s="44">
        <f t="shared" si="22"/>
        <v>12475</v>
      </c>
      <c r="F78" s="44">
        <f t="shared" si="22"/>
        <v>14597</v>
      </c>
      <c r="G78" s="44">
        <f t="shared" si="22"/>
        <v>5286</v>
      </c>
      <c r="H78" s="44">
        <f t="shared" si="22"/>
        <v>925</v>
      </c>
      <c r="I78" s="44">
        <f t="shared" si="22"/>
        <v>13192</v>
      </c>
      <c r="J78" s="44">
        <f t="shared" si="22"/>
        <v>-972</v>
      </c>
      <c r="K78" s="44">
        <f t="shared" si="22"/>
        <v>9626</v>
      </c>
      <c r="L78" s="44">
        <f t="shared" si="22"/>
        <v>18522</v>
      </c>
    </row>
    <row r="79" spans="1:12" x14ac:dyDescent="0.3">
      <c r="B79" s="19"/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 spans="1:12" x14ac:dyDescent="0.3">
      <c r="B80" s="19" t="s">
        <v>96</v>
      </c>
    </row>
    <row r="81" spans="2:12" x14ac:dyDescent="0.3">
      <c r="B81" t="s">
        <v>97</v>
      </c>
      <c r="C81" s="39">
        <f>IFERROR('Cash Flow Data'!D13,0)</f>
        <v>-3058</v>
      </c>
      <c r="D81" s="39">
        <f>IFERROR('Cash Flow Data'!E13,0)</f>
        <v>-2469</v>
      </c>
      <c r="E81" s="39">
        <f>IFERROR('Cash Flow Data'!F13,0)</f>
        <v>-3391</v>
      </c>
      <c r="F81" s="39">
        <f>IFERROR('Cash Flow Data'!G13,0)</f>
        <v>-3912</v>
      </c>
      <c r="G81" s="39">
        <f>IFERROR('Cash Flow Data'!H13,0)</f>
        <v>-4872</v>
      </c>
      <c r="H81" s="39">
        <f>IFERROR('Cash Flow Data'!I13,0)</f>
        <v>-3437</v>
      </c>
      <c r="I81" s="39">
        <f>IFERROR('Cash Flow Data'!J13,0)</f>
        <v>-2370</v>
      </c>
      <c r="J81" s="39">
        <f>IFERROR('Cash Flow Data'!K13,0)</f>
        <v>-3459</v>
      </c>
      <c r="K81" s="39">
        <f>IFERROR('Cash Flow Data'!L13,0)</f>
        <v>-6347</v>
      </c>
      <c r="L81" s="39">
        <f>IFERROR('Cash Flow Data'!M13,0)</f>
        <v>-9200</v>
      </c>
    </row>
    <row r="82" spans="2:12" x14ac:dyDescent="0.3">
      <c r="B82" s="38" t="s">
        <v>98</v>
      </c>
      <c r="C82" s="39">
        <f>IFERROR('Cash Flow Data'!D14,0)</f>
        <v>16</v>
      </c>
      <c r="D82" s="39">
        <f>IFERROR('Cash Flow Data'!E14,0)</f>
        <v>12</v>
      </c>
      <c r="E82" s="39">
        <f>IFERROR('Cash Flow Data'!F14,0)</f>
        <v>16</v>
      </c>
      <c r="F82" s="39">
        <f>IFERROR('Cash Flow Data'!G14,0)</f>
        <v>26</v>
      </c>
      <c r="G82" s="39">
        <f>IFERROR('Cash Flow Data'!H14,0)</f>
        <v>170</v>
      </c>
      <c r="H82" s="39">
        <f>IFERROR('Cash Flow Data'!I14,0)</f>
        <v>37</v>
      </c>
      <c r="I82" s="39">
        <f>IFERROR('Cash Flow Data'!J14,0)</f>
        <v>42</v>
      </c>
      <c r="J82" s="39">
        <f>IFERROR('Cash Flow Data'!K14,0)</f>
        <v>136</v>
      </c>
      <c r="K82" s="39">
        <f>IFERROR('Cash Flow Data'!L14,0)</f>
        <v>100</v>
      </c>
      <c r="L82" s="39">
        <f>IFERROR('Cash Flow Data'!M14,0)</f>
        <v>45</v>
      </c>
    </row>
    <row r="83" spans="2:12" x14ac:dyDescent="0.3">
      <c r="B83" t="s">
        <v>99</v>
      </c>
      <c r="C83" s="39">
        <f>IFERROR('Cash Flow Data'!D15,0)</f>
        <v>-17354</v>
      </c>
      <c r="D83" s="39">
        <f>IFERROR('Cash Flow Data'!E15,0)</f>
        <v>-12044</v>
      </c>
      <c r="E83" s="39">
        <f>IFERROR('Cash Flow Data'!F15,0)</f>
        <v>-17716</v>
      </c>
      <c r="F83" s="39">
        <f>IFERROR('Cash Flow Data'!G15,0)</f>
        <v>-47069</v>
      </c>
      <c r="G83" s="39">
        <f>IFERROR('Cash Flow Data'!H15,0)</f>
        <v>-52957</v>
      </c>
      <c r="H83" s="39">
        <f>IFERROR('Cash Flow Data'!I15,0)</f>
        <v>-44205</v>
      </c>
      <c r="I83" s="39">
        <f>IFERROR('Cash Flow Data'!J15,0)</f>
        <v>-44869</v>
      </c>
      <c r="J83" s="39">
        <f>IFERROR('Cash Flow Data'!K15,0)</f>
        <v>-60525</v>
      </c>
      <c r="K83" s="39">
        <f>IFERROR('Cash Flow Data'!L15,0)</f>
        <v>-66597</v>
      </c>
      <c r="L83" s="39">
        <f>IFERROR('Cash Flow Data'!M15,0)</f>
        <v>-65736</v>
      </c>
    </row>
    <row r="84" spans="2:12" x14ac:dyDescent="0.3">
      <c r="B84" t="s">
        <v>100</v>
      </c>
      <c r="C84" s="39">
        <f>IFERROR('Cash Flow Data'!D16,0)</f>
        <v>15270</v>
      </c>
      <c r="D84" s="39">
        <f>IFERROR('Cash Flow Data'!E16,0)</f>
        <v>7378</v>
      </c>
      <c r="E84" s="39">
        <f>IFERROR('Cash Flow Data'!F16,0)</f>
        <v>11839</v>
      </c>
      <c r="F84" s="39">
        <f>IFERROR('Cash Flow Data'!G16,0)</f>
        <v>42564</v>
      </c>
      <c r="G84" s="39">
        <f>IFERROR('Cash Flow Data'!H16,0)</f>
        <v>53986</v>
      </c>
      <c r="H84" s="39">
        <f>IFERROR('Cash Flow Data'!I16,0)</f>
        <v>46969</v>
      </c>
      <c r="I84" s="39">
        <f>IFERROR('Cash Flow Data'!J16,0)</f>
        <v>42920</v>
      </c>
      <c r="J84" s="39">
        <f>IFERROR('Cash Flow Data'!K16,0)</f>
        <v>63579</v>
      </c>
      <c r="K84" s="39">
        <f>IFERROR('Cash Flow Data'!L16,0)</f>
        <v>61605</v>
      </c>
      <c r="L84" s="39">
        <f>IFERROR('Cash Flow Data'!M16,0)</f>
        <v>61933</v>
      </c>
    </row>
    <row r="85" spans="2:12" x14ac:dyDescent="0.3">
      <c r="B85" t="s">
        <v>101</v>
      </c>
      <c r="C85" s="39">
        <f>IFERROR('Cash Flow Data'!D17,0)</f>
        <v>152</v>
      </c>
      <c r="D85" s="39">
        <f>IFERROR('Cash Flow Data'!E17,0)</f>
        <v>67</v>
      </c>
      <c r="E85" s="39">
        <f>IFERROR('Cash Flow Data'!F17,0)</f>
        <v>36</v>
      </c>
      <c r="F85" s="39">
        <f>IFERROR('Cash Flow Data'!G17,0)</f>
        <v>68</v>
      </c>
      <c r="G85" s="39">
        <f>IFERROR('Cash Flow Data'!H17,0)</f>
        <v>124</v>
      </c>
      <c r="H85" s="39">
        <f>IFERROR('Cash Flow Data'!I17,0)</f>
        <v>96</v>
      </c>
      <c r="I85" s="39">
        <f>IFERROR('Cash Flow Data'!J17,0)</f>
        <v>67</v>
      </c>
      <c r="J85" s="39">
        <f>IFERROR('Cash Flow Data'!K17,0)</f>
        <v>174</v>
      </c>
      <c r="K85" s="39">
        <f>IFERROR('Cash Flow Data'!L17,0)</f>
        <v>194</v>
      </c>
      <c r="L85" s="39">
        <f>IFERROR('Cash Flow Data'!M17,0)</f>
        <v>372</v>
      </c>
    </row>
    <row r="86" spans="2:12" x14ac:dyDescent="0.3">
      <c r="B86" t="s">
        <v>102</v>
      </c>
      <c r="C86" s="39">
        <f>IFERROR('Cash Flow Data'!D18,0)</f>
        <v>54</v>
      </c>
      <c r="D86" s="39">
        <f>IFERROR('Cash Flow Data'!E18,0)</f>
        <v>11</v>
      </c>
      <c r="E86" s="39">
        <f>IFERROR('Cash Flow Data'!F18,0)</f>
        <v>13</v>
      </c>
      <c r="F86" s="39">
        <f>IFERROR('Cash Flow Data'!G18,0)</f>
        <v>20</v>
      </c>
      <c r="G86" s="39">
        <f>IFERROR('Cash Flow Data'!H18,0)</f>
        <v>9</v>
      </c>
      <c r="H86" s="39">
        <f>IFERROR('Cash Flow Data'!I18,0)</f>
        <v>4</v>
      </c>
      <c r="I86" s="39">
        <f>IFERROR('Cash Flow Data'!J18,0)</f>
        <v>3</v>
      </c>
      <c r="J86" s="39">
        <f>IFERROR('Cash Flow Data'!K18,0)</f>
        <v>3</v>
      </c>
      <c r="K86" s="39">
        <f>IFERROR('Cash Flow Data'!L18,0)</f>
        <v>6</v>
      </c>
      <c r="L86" s="39">
        <f>IFERROR('Cash Flow Data'!M18,0)</f>
        <v>6</v>
      </c>
    </row>
    <row r="87" spans="2:12" x14ac:dyDescent="0.3">
      <c r="B87" t="s">
        <v>103</v>
      </c>
      <c r="C87" s="39">
        <f>IFERROR('Cash Flow Data'!D19,0)</f>
        <v>0</v>
      </c>
      <c r="D87" s="39">
        <f>IFERROR('Cash Flow Data'!E19,0)</f>
        <v>0</v>
      </c>
      <c r="E87" s="39">
        <f>IFERROR('Cash Flow Data'!F19,0)</f>
        <v>22</v>
      </c>
      <c r="F87" s="39">
        <f>IFERROR('Cash Flow Data'!G19,0)</f>
        <v>0</v>
      </c>
      <c r="G87" s="39">
        <f>IFERROR('Cash Flow Data'!H19,0)</f>
        <v>0</v>
      </c>
      <c r="H87" s="39">
        <f>IFERROR('Cash Flow Data'!I19,0)</f>
        <v>0</v>
      </c>
      <c r="I87" s="39">
        <f>IFERROR('Cash Flow Data'!J19,0)</f>
        <v>0</v>
      </c>
      <c r="J87" s="39">
        <f>IFERROR('Cash Flow Data'!K19,0)</f>
        <v>0</v>
      </c>
      <c r="K87" s="39">
        <f>IFERROR('Cash Flow Data'!L19,0)</f>
        <v>0</v>
      </c>
      <c r="L87" s="39">
        <f>IFERROR('Cash Flow Data'!M19,0)</f>
        <v>0</v>
      </c>
    </row>
    <row r="88" spans="2:12" x14ac:dyDescent="0.3">
      <c r="B88" t="s">
        <v>104</v>
      </c>
      <c r="C88" s="39">
        <f>IFERROR('Cash Flow Data'!D20,0)</f>
        <v>0</v>
      </c>
      <c r="D88" s="39">
        <f>IFERROR('Cash Flow Data'!E20,0)</f>
        <v>0</v>
      </c>
      <c r="E88" s="39">
        <f>IFERROR('Cash Flow Data'!F20,0)</f>
        <v>0</v>
      </c>
      <c r="F88" s="39">
        <f>IFERROR('Cash Flow Data'!G20,0)</f>
        <v>0</v>
      </c>
      <c r="G88" s="39">
        <f>IFERROR('Cash Flow Data'!H20,0)</f>
        <v>0</v>
      </c>
      <c r="H88" s="39">
        <f>IFERROR('Cash Flow Data'!I20,0)</f>
        <v>-15</v>
      </c>
      <c r="I88" s="39">
        <f>IFERROR('Cash Flow Data'!J20,0)</f>
        <v>-65</v>
      </c>
      <c r="J88" s="39">
        <f>IFERROR('Cash Flow Data'!K20,0)</f>
        <v>-146</v>
      </c>
      <c r="K88" s="39">
        <f>IFERROR('Cash Flow Data'!L20,0)</f>
        <v>0</v>
      </c>
      <c r="L88" s="39">
        <f>IFERROR('Cash Flow Data'!M20,0)</f>
        <v>-80</v>
      </c>
    </row>
    <row r="89" spans="2:12" x14ac:dyDescent="0.3">
      <c r="B89" t="s">
        <v>105</v>
      </c>
      <c r="C89" s="39">
        <f>IFERROR('Cash Flow Data'!D21,0)</f>
        <v>428</v>
      </c>
      <c r="D89" s="39">
        <f>IFERROR('Cash Flow Data'!E21,0)</f>
        <v>-186</v>
      </c>
      <c r="E89" s="39">
        <f>IFERROR('Cash Flow Data'!F21,0)</f>
        <v>7</v>
      </c>
      <c r="F89" s="39">
        <f>IFERROR('Cash Flow Data'!G21,0)</f>
        <v>0</v>
      </c>
      <c r="G89" s="39">
        <f>IFERROR('Cash Flow Data'!H21,0)</f>
        <v>0</v>
      </c>
      <c r="H89" s="39">
        <f>IFERROR('Cash Flow Data'!I21,0)</f>
        <v>-5</v>
      </c>
      <c r="I89" s="39">
        <f>IFERROR('Cash Flow Data'!J21,0)</f>
        <v>-3019</v>
      </c>
      <c r="J89" s="39">
        <f>IFERROR('Cash Flow Data'!K21,0)</f>
        <v>-1</v>
      </c>
      <c r="K89" s="39">
        <f>IFERROR('Cash Flow Data'!L21,0)</f>
        <v>3003</v>
      </c>
      <c r="L89" s="39">
        <f>IFERROR('Cash Flow Data'!M21,0)</f>
        <v>795</v>
      </c>
    </row>
    <row r="90" spans="2:12" x14ac:dyDescent="0.3">
      <c r="B90" s="41" t="s">
        <v>48</v>
      </c>
      <c r="C90" s="44">
        <f>SUM(C81:C89)</f>
        <v>-4492</v>
      </c>
      <c r="D90" s="44">
        <f t="shared" ref="D90:L90" si="23">SUM(D81:D89)</f>
        <v>-7231</v>
      </c>
      <c r="E90" s="44">
        <f t="shared" si="23"/>
        <v>-9174</v>
      </c>
      <c r="F90" s="44">
        <f t="shared" si="23"/>
        <v>-8303</v>
      </c>
      <c r="G90" s="44">
        <f t="shared" si="23"/>
        <v>-3540</v>
      </c>
      <c r="H90" s="44">
        <f t="shared" si="23"/>
        <v>-556</v>
      </c>
      <c r="I90" s="44">
        <f t="shared" si="23"/>
        <v>-7291</v>
      </c>
      <c r="J90" s="44">
        <f t="shared" si="23"/>
        <v>-239</v>
      </c>
      <c r="K90" s="44">
        <f t="shared" si="23"/>
        <v>-8036</v>
      </c>
      <c r="L90" s="44">
        <f t="shared" si="23"/>
        <v>-11865</v>
      </c>
    </row>
    <row r="91" spans="2:12" x14ac:dyDescent="0.3">
      <c r="C91" s="39"/>
      <c r="D91" s="39"/>
      <c r="E91" s="39"/>
      <c r="F91" s="39"/>
      <c r="G91" s="39"/>
      <c r="H91" s="39"/>
      <c r="I91" s="39"/>
      <c r="J91" s="39"/>
      <c r="K91" s="39"/>
      <c r="L91" s="39"/>
    </row>
    <row r="92" spans="2:12" x14ac:dyDescent="0.3">
      <c r="B92" s="19" t="s">
        <v>106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</row>
    <row r="93" spans="2:12" x14ac:dyDescent="0.3">
      <c r="B93" t="s">
        <v>107</v>
      </c>
      <c r="C93" s="39">
        <f>IFERROR('Cash Flow Data'!C23,0)</f>
        <v>1264</v>
      </c>
      <c r="D93" s="39">
        <f>IFERROR('Cash Flow Data'!D23,0)</f>
        <v>92</v>
      </c>
      <c r="E93" s="39">
        <f>IFERROR('Cash Flow Data'!E23,0)</f>
        <v>77</v>
      </c>
      <c r="F93" s="39">
        <f>IFERROR('Cash Flow Data'!F23,0)</f>
        <v>484</v>
      </c>
      <c r="G93" s="39">
        <f>IFERROR('Cash Flow Data'!G23,0)</f>
        <v>10</v>
      </c>
      <c r="H93" s="39">
        <f>IFERROR('Cash Flow Data'!H23,0)</f>
        <v>39</v>
      </c>
      <c r="I93" s="39">
        <f>IFERROR('Cash Flow Data'!I23,0)</f>
        <v>0</v>
      </c>
      <c r="J93" s="39">
        <f>IFERROR('Cash Flow Data'!J23,0)</f>
        <v>380</v>
      </c>
      <c r="K93" s="39">
        <f>IFERROR('Cash Flow Data'!K23,0)</f>
        <v>0</v>
      </c>
      <c r="L93" s="39">
        <f>IFERROR('Cash Flow Data'!L23,0)</f>
        <v>831</v>
      </c>
    </row>
    <row r="94" spans="2:12" x14ac:dyDescent="0.3">
      <c r="B94" t="s">
        <v>108</v>
      </c>
      <c r="C94" s="39">
        <f>IFERROR('Cash Flow Data'!C24,0)</f>
        <v>-885</v>
      </c>
      <c r="D94" s="39">
        <f>IFERROR('Cash Flow Data'!D24,0)</f>
        <v>-1449</v>
      </c>
      <c r="E94" s="39">
        <f>IFERROR('Cash Flow Data'!E24,0)</f>
        <v>-313</v>
      </c>
      <c r="F94" s="39">
        <f>IFERROR('Cash Flow Data'!F24,0)</f>
        <v>-231</v>
      </c>
      <c r="G94" s="39">
        <f>IFERROR('Cash Flow Data'!G24,0)</f>
        <v>-373</v>
      </c>
      <c r="H94" s="39">
        <f>IFERROR('Cash Flow Data'!H24,0)</f>
        <v>0</v>
      </c>
      <c r="I94" s="39">
        <f>IFERROR('Cash Flow Data'!I24,0)</f>
        <v>-46</v>
      </c>
      <c r="J94" s="39">
        <f>IFERROR('Cash Flow Data'!J24,0)</f>
        <v>0</v>
      </c>
      <c r="K94" s="39">
        <f>IFERROR('Cash Flow Data'!K24,0)</f>
        <v>-110</v>
      </c>
      <c r="L94" s="39">
        <f>IFERROR('Cash Flow Data'!L24,0)</f>
        <v>0</v>
      </c>
    </row>
    <row r="95" spans="2:12" x14ac:dyDescent="0.3">
      <c r="B95" t="s">
        <v>109</v>
      </c>
      <c r="C95" s="39">
        <f>IFERROR('Cash Flow Data'!C25,0)</f>
        <v>-170</v>
      </c>
      <c r="D95" s="39">
        <f>IFERROR('Cash Flow Data'!D25,0)</f>
        <v>-222</v>
      </c>
      <c r="E95" s="39">
        <f>IFERROR('Cash Flow Data'!E25,0)</f>
        <v>-92</v>
      </c>
      <c r="F95" s="39">
        <f>IFERROR('Cash Flow Data'!F25,0)</f>
        <v>-110</v>
      </c>
      <c r="G95" s="39">
        <f>IFERROR('Cash Flow Data'!G25,0)</f>
        <v>-346</v>
      </c>
      <c r="H95" s="39">
        <f>IFERROR('Cash Flow Data'!H25,0)</f>
        <v>-73</v>
      </c>
      <c r="I95" s="39">
        <f>IFERROR('Cash Flow Data'!I25,0)</f>
        <v>-136</v>
      </c>
      <c r="J95" s="39">
        <f>IFERROR('Cash Flow Data'!J25,0)</f>
        <v>-102</v>
      </c>
      <c r="K95" s="39">
        <f>IFERROR('Cash Flow Data'!K25,0)</f>
        <v>-130</v>
      </c>
      <c r="L95" s="39">
        <f>IFERROR('Cash Flow Data'!L25,0)</f>
        <v>-186</v>
      </c>
    </row>
    <row r="96" spans="2:12" x14ac:dyDescent="0.3">
      <c r="B96" t="s">
        <v>110</v>
      </c>
      <c r="C96" s="39">
        <f>IFERROR('Cash Flow Data'!C26,0)</f>
        <v>-242</v>
      </c>
      <c r="D96" s="39">
        <f>IFERROR('Cash Flow Data'!D26,0)</f>
        <v>-362</v>
      </c>
      <c r="E96" s="39">
        <f>IFERROR('Cash Flow Data'!E26,0)</f>
        <v>-755</v>
      </c>
      <c r="F96" s="39">
        <f>IFERROR('Cash Flow Data'!F26,0)</f>
        <v>-1057</v>
      </c>
      <c r="G96" s="39">
        <f>IFERROR('Cash Flow Data'!G26,0)</f>
        <v>-2266</v>
      </c>
      <c r="H96" s="39">
        <f>IFERROR('Cash Flow Data'!H26,0)</f>
        <v>-2417</v>
      </c>
      <c r="I96" s="39">
        <f>IFERROR('Cash Flow Data'!I26,0)</f>
        <v>-2417</v>
      </c>
      <c r="J96" s="39">
        <f>IFERROR('Cash Flow Data'!J26,0)</f>
        <v>-1812</v>
      </c>
      <c r="K96" s="39">
        <f>IFERROR('Cash Flow Data'!K26,0)</f>
        <v>-1359</v>
      </c>
      <c r="L96" s="39">
        <f>IFERROR('Cash Flow Data'!L26,0)</f>
        <v>-1812</v>
      </c>
    </row>
    <row r="97" spans="2:12" x14ac:dyDescent="0.3">
      <c r="B97" s="38" t="s">
        <v>111</v>
      </c>
      <c r="C97" s="39">
        <f>IFERROR('Cash Flow Data'!C27,0)</f>
        <v>0</v>
      </c>
      <c r="D97" s="39">
        <f>IFERROR('Cash Flow Data'!D27,0)</f>
        <v>0</v>
      </c>
      <c r="E97" s="39">
        <f>IFERROR('Cash Flow Data'!E27,0)</f>
        <v>0</v>
      </c>
      <c r="F97" s="39">
        <f>IFERROR('Cash Flow Data'!F27,0)</f>
        <v>0</v>
      </c>
      <c r="G97" s="39">
        <f>IFERROR('Cash Flow Data'!G27,0)</f>
        <v>0</v>
      </c>
      <c r="H97" s="39">
        <f>IFERROR('Cash Flow Data'!H27,0)</f>
        <v>0</v>
      </c>
      <c r="I97" s="39">
        <f>IFERROR('Cash Flow Data'!I27,0)</f>
        <v>-10</v>
      </c>
      <c r="J97" s="39">
        <f>IFERROR('Cash Flow Data'!J27,0)</f>
        <v>-11</v>
      </c>
      <c r="K97" s="39">
        <f>IFERROR('Cash Flow Data'!K27,0)</f>
        <v>-8</v>
      </c>
      <c r="L97" s="39">
        <f>IFERROR('Cash Flow Data'!L27,0)</f>
        <v>-46</v>
      </c>
    </row>
    <row r="98" spans="2:12" x14ac:dyDescent="0.3">
      <c r="B98" t="s">
        <v>112</v>
      </c>
      <c r="C98" s="39">
        <f>IFERROR('Cash Flow Data'!C28,0)</f>
        <v>-41</v>
      </c>
      <c r="D98" s="39">
        <f>IFERROR('Cash Flow Data'!D28,0)</f>
        <v>-62</v>
      </c>
      <c r="E98" s="39">
        <f>IFERROR('Cash Flow Data'!E28,0)</f>
        <v>-154</v>
      </c>
      <c r="F98" s="39">
        <f>IFERROR('Cash Flow Data'!F28,0)</f>
        <v>-215</v>
      </c>
      <c r="G98" s="39">
        <f>IFERROR('Cash Flow Data'!G28,0)</f>
        <v>-461</v>
      </c>
      <c r="H98" s="39">
        <f>IFERROR('Cash Flow Data'!H28,0)</f>
        <v>-497</v>
      </c>
      <c r="I98" s="39">
        <f>IFERROR('Cash Flow Data'!I28,0)</f>
        <v>-497</v>
      </c>
      <c r="J98" s="39">
        <f>IFERROR('Cash Flow Data'!J28,0)</f>
        <v>0</v>
      </c>
      <c r="K98" s="39">
        <f>IFERROR('Cash Flow Data'!K28,0)</f>
        <v>0</v>
      </c>
      <c r="L98" s="39">
        <f>IFERROR('Cash Flow Data'!L28,0)</f>
        <v>0</v>
      </c>
    </row>
    <row r="99" spans="2:12" x14ac:dyDescent="0.3">
      <c r="B99" s="41" t="s">
        <v>49</v>
      </c>
      <c r="C99" s="44">
        <f>SUM(C93:C98)</f>
        <v>-74</v>
      </c>
      <c r="D99" s="44">
        <f t="shared" ref="D99:L99" si="24">SUM(D93:D98)</f>
        <v>-2003</v>
      </c>
      <c r="E99" s="44">
        <f t="shared" si="24"/>
        <v>-1237</v>
      </c>
      <c r="F99" s="44">
        <f t="shared" si="24"/>
        <v>-1129</v>
      </c>
      <c r="G99" s="44">
        <f t="shared" si="24"/>
        <v>-3436</v>
      </c>
      <c r="H99" s="44">
        <f t="shared" si="24"/>
        <v>-2948</v>
      </c>
      <c r="I99" s="44">
        <f t="shared" si="24"/>
        <v>-3106</v>
      </c>
      <c r="J99" s="44">
        <f t="shared" si="24"/>
        <v>-1545</v>
      </c>
      <c r="K99" s="44">
        <f t="shared" si="24"/>
        <v>-1607</v>
      </c>
      <c r="L99" s="44">
        <f t="shared" si="24"/>
        <v>-1213</v>
      </c>
    </row>
    <row r="100" spans="2:12" x14ac:dyDescent="0.3">
      <c r="C100" s="39"/>
      <c r="D100" s="39"/>
      <c r="E100" s="39"/>
      <c r="F100" s="39"/>
      <c r="G100" s="39"/>
      <c r="H100" s="39"/>
      <c r="I100" s="39"/>
      <c r="J100" s="39"/>
      <c r="K100" s="39"/>
      <c r="L100" s="39"/>
    </row>
    <row r="101" spans="2:12" x14ac:dyDescent="0.3">
      <c r="B101" s="41" t="s">
        <v>50</v>
      </c>
      <c r="C101" s="44">
        <f>IFERROR(C99+C90+C78,0)</f>
        <v>2629</v>
      </c>
      <c r="D101" s="44">
        <f t="shared" ref="D101:L101" si="25">IFERROR(D99+D90+D78,0)</f>
        <v>708</v>
      </c>
      <c r="E101" s="44">
        <f t="shared" si="25"/>
        <v>2064</v>
      </c>
      <c r="F101" s="44">
        <f t="shared" si="25"/>
        <v>5165</v>
      </c>
      <c r="G101" s="44">
        <f t="shared" si="25"/>
        <v>-1690</v>
      </c>
      <c r="H101" s="44">
        <f t="shared" si="25"/>
        <v>-2579</v>
      </c>
      <c r="I101" s="44">
        <f t="shared" si="25"/>
        <v>2795</v>
      </c>
      <c r="J101" s="44">
        <f t="shared" si="25"/>
        <v>-2756</v>
      </c>
      <c r="K101" s="44">
        <f t="shared" si="25"/>
        <v>-17</v>
      </c>
      <c r="L101" s="44">
        <f t="shared" si="25"/>
        <v>5444</v>
      </c>
    </row>
    <row r="103" spans="2:12" x14ac:dyDescent="0.3">
      <c r="D103" s="72">
        <f>IFERROR(SUM('Data Sheet'!B67:B68)-SUM('Data Sheet'!C67:C68),0)</f>
        <v>-10.299999999999272</v>
      </c>
      <c r="E103" s="72">
        <f>IFERROR(SUM('Data Sheet'!C67:C68)-SUM('Data Sheet'!D67:D68),0)</f>
        <v>-159.30000000000109</v>
      </c>
      <c r="F103" s="72">
        <f>IFERROR(SUM('Data Sheet'!D67:D68)-SUM('Data Sheet'!E67:E68),0)</f>
        <v>-1009.7999999999993</v>
      </c>
      <c r="G103" s="72">
        <f>IFERROR(SUM('Data Sheet'!E67:E68)-SUM('Data Sheet'!F67:F68),0)</f>
        <v>443.79999999999927</v>
      </c>
      <c r="H103" s="72">
        <f>IFERROR(SUM('Data Sheet'!F67:F68)-SUM('Data Sheet'!G67:G68),0)</f>
        <v>862.70000000000073</v>
      </c>
      <c r="I103" s="72">
        <f>IFERROR(SUM('Data Sheet'!G67:G68)-SUM('Data Sheet'!H67:H68),0)</f>
        <v>-1237.9000000000005</v>
      </c>
      <c r="J103" s="72">
        <f>IFERROR(SUM('Data Sheet'!H67:H68)-SUM('Data Sheet'!I67:I68),0)</f>
        <v>-2018.0999999999995</v>
      </c>
      <c r="K103" s="72">
        <f>IFERROR(SUM('Data Sheet'!I67:I68)-SUM('Data Sheet'!J67:J68),0)</f>
        <v>-2330.0000000000018</v>
      </c>
      <c r="L103" s="72">
        <f>IFERROR(SUM('Data Sheet'!J67:J68)-SUM('Data Sheet'!K67:K68),0)</f>
        <v>-3537.9999999999982</v>
      </c>
    </row>
    <row r="104" spans="2:12" x14ac:dyDescent="0.3">
      <c r="D104" s="72">
        <f>SUM(D103,'Data Sheet'!C83)</f>
        <v>-9183.5</v>
      </c>
      <c r="E104" s="72">
        <f>SUM(E103,'Data Sheet'!D83)</f>
        <v>-8461.0000000000018</v>
      </c>
      <c r="F104" s="72">
        <f>SUM(F103,'Data Sheet'!E83)</f>
        <v>-4549.6999999999989</v>
      </c>
      <c r="G104" s="72">
        <f>SUM(G103,'Data Sheet'!F83)</f>
        <v>-112.80000000000075</v>
      </c>
      <c r="H104" s="72">
        <f>SUM(H103,'Data Sheet'!G83)</f>
        <v>-6428.5999999999995</v>
      </c>
      <c r="I104" s="72">
        <f>SUM(I103,'Data Sheet'!H83)</f>
        <v>-1477.1000000000006</v>
      </c>
      <c r="J104" s="72">
        <f>SUM(J103,'Data Sheet'!I83)</f>
        <v>-10054.200000000001</v>
      </c>
      <c r="K104" s="72">
        <f>SUM(K103,'Data Sheet'!J83)</f>
        <v>-14194.800000000001</v>
      </c>
      <c r="L104" s="72">
        <f>SUM(L103,'Data Sheet'!K83)</f>
        <v>-17994.099999999999</v>
      </c>
    </row>
    <row r="105" spans="2:12" x14ac:dyDescent="0.3">
      <c r="B105" s="41" t="s">
        <v>176</v>
      </c>
      <c r="C105" s="55"/>
      <c r="D105" s="73">
        <f>(C18-C24)*(1-'Growth Assumptions'!C25)</f>
        <v>4655.324999999998</v>
      </c>
      <c r="E105" s="73">
        <f>(D18-D24)*(1-'Growth Assumptions'!D25)</f>
        <v>7438.0999999999967</v>
      </c>
      <c r="F105" s="73">
        <f>(E18-E24)*(1-'Growth Assumptions'!E25)</f>
        <v>9398.8999999999905</v>
      </c>
      <c r="G105" s="73">
        <f>(F18-F24)*(1-'Growth Assumptions'!F25)</f>
        <v>8247.1000000000022</v>
      </c>
      <c r="H105" s="73">
        <f>(G18-G24)*(1-'Growth Assumptions'!G25)</f>
        <v>3587.9000000000046</v>
      </c>
      <c r="I105" s="73">
        <f>(H18-H24)*(1-'Growth Assumptions'!H25)</f>
        <v>2650.1000000000008</v>
      </c>
      <c r="J105" s="73">
        <f>(I18-I24)*(1-'Growth Assumptions'!I25)</f>
        <v>2869.9000000000087</v>
      </c>
      <c r="K105" s="73">
        <f>(J18-J24)*(1-'Growth Assumptions'!J25)</f>
        <v>7799.6000000000031</v>
      </c>
      <c r="L105" s="73">
        <f>(K18-K24)*(1-'Growth Assumptions'!K25)</f>
        <v>12991.900000000009</v>
      </c>
    </row>
    <row r="106" spans="2:12" x14ac:dyDescent="0.3">
      <c r="B106" s="11" t="s">
        <v>180</v>
      </c>
      <c r="C106" s="10"/>
      <c r="D106" s="16">
        <f>D104/D105</f>
        <v>-1.972687191549463</v>
      </c>
      <c r="E106" s="16">
        <f t="shared" ref="E106:L106" si="26">E104/E105</f>
        <v>-1.1375216789233817</v>
      </c>
      <c r="F106" s="16">
        <f t="shared" si="26"/>
        <v>-0.48406728446945957</v>
      </c>
      <c r="G106" s="16">
        <f t="shared" si="26"/>
        <v>-1.3677535133562188E-2</v>
      </c>
      <c r="H106" s="16">
        <f t="shared" si="26"/>
        <v>-1.7917444744836788</v>
      </c>
      <c r="I106" s="16">
        <f t="shared" si="26"/>
        <v>-0.55737519338892882</v>
      </c>
      <c r="J106" s="16">
        <f t="shared" si="26"/>
        <v>-3.5033276420781108</v>
      </c>
      <c r="K106" s="16">
        <f t="shared" si="26"/>
        <v>-1.8199394840761058</v>
      </c>
      <c r="L106" s="16">
        <f t="shared" si="26"/>
        <v>-1.385024515274901</v>
      </c>
    </row>
    <row r="113" spans="2:2" x14ac:dyDescent="0.3">
      <c r="B113" s="19"/>
    </row>
    <row r="115" spans="2:2" x14ac:dyDescent="0.3">
      <c r="B115" s="19"/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C15:L15 D103:L10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3"/>
  <sheetViews>
    <sheetView showGridLines="0" zoomScaleNormal="100" workbookViewId="0">
      <selection activeCell="G14" sqref="G14"/>
    </sheetView>
  </sheetViews>
  <sheetFormatPr defaultRowHeight="14.4" x14ac:dyDescent="0.3"/>
  <cols>
    <col min="1" max="1" width="1.88671875" customWidth="1"/>
    <col min="2" max="2" width="29" customWidth="1"/>
    <col min="3" max="3" width="9.109375" customWidth="1"/>
    <col min="4" max="4" width="10.21875" customWidth="1"/>
    <col min="5" max="5" width="10" bestFit="1" customWidth="1"/>
    <col min="6" max="6" width="11.21875" customWidth="1"/>
    <col min="7" max="7" width="9" customWidth="1"/>
    <col min="8" max="8" width="9.77734375" customWidth="1"/>
    <col min="9" max="10" width="9.44140625" customWidth="1"/>
    <col min="11" max="11" width="9" bestFit="1" customWidth="1"/>
    <col min="12" max="12" width="10" bestFit="1" customWidth="1"/>
    <col min="13" max="13" width="23.109375" customWidth="1"/>
    <col min="14" max="15" width="10" bestFit="1" customWidth="1"/>
  </cols>
  <sheetData>
    <row r="2" spans="2:15" x14ac:dyDescent="0.3">
      <c r="B2" s="146" t="str">
        <f>"Ratio Analysis - "&amp;'Data Sheet'!B1</f>
        <v>Ratio Analysis - MARUTI SUZUKI INDIA LTD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</row>
    <row r="3" spans="2:15" x14ac:dyDescent="0.3">
      <c r="B3" s="8" t="s">
        <v>54</v>
      </c>
      <c r="C3" s="9">
        <f>'Data Sheet'!B16</f>
        <v>42460</v>
      </c>
      <c r="D3" s="9">
        <f>'Data Sheet'!C16</f>
        <v>42825</v>
      </c>
      <c r="E3" s="9">
        <f>'Data Sheet'!D16</f>
        <v>43190</v>
      </c>
      <c r="F3" s="9">
        <f>'Data Sheet'!E16</f>
        <v>43555</v>
      </c>
      <c r="G3" s="9">
        <f>'Data Sheet'!F16</f>
        <v>43921</v>
      </c>
      <c r="H3" s="9">
        <f>'Data Sheet'!G16</f>
        <v>44286</v>
      </c>
      <c r="I3" s="9">
        <f>'Data Sheet'!H16</f>
        <v>44651</v>
      </c>
      <c r="J3" s="9">
        <f>'Data Sheet'!I16</f>
        <v>45016</v>
      </c>
      <c r="K3" s="9">
        <f>'Data Sheet'!J16</f>
        <v>45382</v>
      </c>
      <c r="L3" s="9">
        <f>'Data Sheet'!K16</f>
        <v>45747</v>
      </c>
      <c r="M3" s="9" t="s">
        <v>149</v>
      </c>
      <c r="N3" s="8" t="s">
        <v>150</v>
      </c>
      <c r="O3" s="9" t="s">
        <v>151</v>
      </c>
    </row>
    <row r="5" spans="2:15" x14ac:dyDescent="0.3">
      <c r="B5" s="54" t="s">
        <v>117</v>
      </c>
      <c r="C5" s="48"/>
      <c r="D5" s="49">
        <f>IFERROR(HistoricalFS!D7,0)</f>
        <v>0.18225702825192314</v>
      </c>
      <c r="E5" s="49">
        <f>IFERROR(HistoricalFS!E7,0)</f>
        <v>0.17220239406624072</v>
      </c>
      <c r="F5" s="49">
        <f>IFERROR(HistoricalFS!F7,0)</f>
        <v>7.8425598989592782E-2</v>
      </c>
      <c r="G5" s="49">
        <f>IFERROR(HistoricalFS!G7,0)</f>
        <v>-0.12093274542951249</v>
      </c>
      <c r="H5" s="49">
        <f>IFERROR(HistoricalFS!H7,0)</f>
        <v>-6.9891620407084298E-2</v>
      </c>
      <c r="I5" s="49">
        <f>IFERROR(HistoricalFS!I7,0)</f>
        <v>0.25518387995225389</v>
      </c>
      <c r="J5" s="49">
        <f>IFERROR(HistoricalFS!J7,0)</f>
        <v>0.3310490910202446</v>
      </c>
      <c r="K5" s="49">
        <f>IFERROR(HistoricalFS!K7,0)</f>
        <v>0.20657167182807368</v>
      </c>
      <c r="L5" s="49">
        <f>IFERROR(HistoricalFS!L7,0)</f>
        <v>7.7928522989858751E-2</v>
      </c>
      <c r="M5" s="48"/>
      <c r="N5" s="49">
        <f>IFERROR(AVERAGE(D5:L5),0)</f>
        <v>0.12364375791795454</v>
      </c>
      <c r="O5" s="49">
        <f>IFERROR(MEDIAN(D5:L5),0)</f>
        <v>0.17220239406624072</v>
      </c>
    </row>
    <row r="6" spans="2:15" x14ac:dyDescent="0.3">
      <c r="B6" s="50" t="s">
        <v>118</v>
      </c>
      <c r="D6" s="45">
        <f>IFERROR(HistoricalFS!D13,0)</f>
        <v>0.25999412499082025</v>
      </c>
      <c r="E6" s="45">
        <f>IFERROR(HistoricalFS!E13,0)</f>
        <v>0.26143787573894794</v>
      </c>
      <c r="F6" s="45">
        <f>IFERROR(HistoricalFS!F13,0)</f>
        <v>0.25674782295497195</v>
      </c>
      <c r="G6" s="45">
        <f>IFERROR(HistoricalFS!G13,0)</f>
        <v>0.23478984932593186</v>
      </c>
      <c r="H6" s="45">
        <f>IFERROR(HistoricalFS!H13,0)</f>
        <v>0.21642130392769851</v>
      </c>
      <c r="I6" s="45">
        <f>IFERROR(HistoricalFS!I13,0)</f>
        <v>0.18858754350174017</v>
      </c>
      <c r="J6" s="45">
        <f>IFERROR(HistoricalFS!J13,0)</f>
        <v>0.20728953409548082</v>
      </c>
      <c r="K6" s="45">
        <f>IFERROR(HistoricalFS!K13,0)</f>
        <v>0.23590035683520591</v>
      </c>
      <c r="L6" s="45">
        <f>IFERROR(HistoricalFS!L13,0)</f>
        <v>0.22314453316591787</v>
      </c>
      <c r="M6" s="51"/>
      <c r="N6" s="45">
        <f t="shared" ref="N6:N16" si="0">IFERROR(AVERAGE(D6:L6),0)</f>
        <v>0.23159032717074612</v>
      </c>
      <c r="O6" s="45">
        <f t="shared" ref="O6:O16" si="1">IFERROR(MEDIAN(D6:L6),0)</f>
        <v>0.23478984932593186</v>
      </c>
    </row>
    <row r="7" spans="2:15" x14ac:dyDescent="0.3">
      <c r="B7" s="50" t="s">
        <v>119</v>
      </c>
      <c r="D7" s="45">
        <f>IFERROR(HistoricalFS!D18/HistoricalFS!C18-1,0)</f>
        <v>0.11220635957868619</v>
      </c>
      <c r="E7" s="45">
        <f>IFERROR(HistoricalFS!E18/HistoricalFS!D18-1,0)</f>
        <v>0.21078470424218221</v>
      </c>
      <c r="F7" s="45">
        <f>IFERROR(HistoricalFS!F18/HistoricalFS!E18-1,0)</f>
        <v>-7.3264411491359205E-2</v>
      </c>
      <c r="G7" s="45">
        <f>IFERROR(HistoricalFS!G18/HistoricalFS!F18-1,0)</f>
        <v>-0.36844487437765649</v>
      </c>
      <c r="H7" s="45">
        <f>IFERROR(HistoricalFS!H18/HistoricalFS!G18-1,0)</f>
        <v>-0.20124221856863866</v>
      </c>
      <c r="I7" s="45">
        <f>IFERROR(HistoricalFS!I18/HistoricalFS!H18-1,0)</f>
        <v>-4.4509341683951487E-3</v>
      </c>
      <c r="J7" s="45">
        <f>IFERROR(HistoricalFS!J18/HistoricalFS!I18-1,0)</f>
        <v>0.87762639382211849</v>
      </c>
      <c r="K7" s="45">
        <f>IFERROR(HistoricalFS!K18/HistoricalFS!J18-1,0)</f>
        <v>0.7173820974466607</v>
      </c>
      <c r="L7" s="45">
        <f>IFERROR(HistoricalFS!L18/HistoricalFS!K18-1,0)</f>
        <v>4.1013387988622751E-2</v>
      </c>
      <c r="M7" s="51"/>
      <c r="N7" s="45">
        <f t="shared" si="0"/>
        <v>0.14573450049691342</v>
      </c>
      <c r="O7" s="45">
        <f t="shared" si="1"/>
        <v>4.1013387988622751E-2</v>
      </c>
    </row>
    <row r="8" spans="2:15" x14ac:dyDescent="0.3">
      <c r="B8" s="50" t="s">
        <v>120</v>
      </c>
      <c r="D8" s="45">
        <f>IFERROR((HistoricalFS!D18-HistoricalFS!D24)/(HistoricalFS!C18-HistoricalFS!C24)-1,0)</f>
        <v>0.19832127724702353</v>
      </c>
      <c r="E8" s="45">
        <f>IFERROR((HistoricalFS!E18-HistoricalFS!E24)/(HistoricalFS!D18-HistoricalFS!D24)-1,0)</f>
        <v>0.26361570831260606</v>
      </c>
      <c r="F8" s="45">
        <f>IFERROR((HistoricalFS!F18-HistoricalFS!F24)/(HistoricalFS!E18-HistoricalFS!E24)-1,0)</f>
        <v>-0.12254625541286635</v>
      </c>
      <c r="G8" s="45">
        <f>IFERROR((HistoricalFS!G18-HistoricalFS!G24)/(HistoricalFS!F18-HistoricalFS!F24)-1,0)</f>
        <v>-0.56495010367280574</v>
      </c>
      <c r="H8" s="45">
        <f>IFERROR((HistoricalFS!H18-HistoricalFS!H24)/(HistoricalFS!G18-HistoricalFS!G24)-1,0)</f>
        <v>-0.26137852225535907</v>
      </c>
      <c r="I8" s="45">
        <f>IFERROR((HistoricalFS!I18-HistoricalFS!I24)/(HistoricalFS!H18-HistoricalFS!H24)-1,0)</f>
        <v>8.2940266405044261E-2</v>
      </c>
      <c r="J8" s="45">
        <f>IFERROR((HistoricalFS!J18-HistoricalFS!J24)/(HistoricalFS!I18-HistoricalFS!I24)-1,0)</f>
        <v>1.7177253562841841</v>
      </c>
      <c r="K8" s="45">
        <f>IFERROR((HistoricalFS!K18-HistoricalFS!K24)/(HistoricalFS!J18-HistoricalFS!J24)-1,0)</f>
        <v>0.66571362633981268</v>
      </c>
      <c r="L8" s="45">
        <f>IFERROR((HistoricalFS!L18-HistoricalFS!L24)/(HistoricalFS!K18-HistoricalFS!K24)-1,0)</f>
        <v>3.0480530176493659E-2</v>
      </c>
      <c r="M8" s="51"/>
      <c r="N8" s="45">
        <f t="shared" si="0"/>
        <v>0.22332465371379259</v>
      </c>
      <c r="O8" s="45">
        <f t="shared" si="1"/>
        <v>8.2940266405044261E-2</v>
      </c>
    </row>
    <row r="9" spans="2:15" x14ac:dyDescent="0.3">
      <c r="B9" s="50" t="s">
        <v>121</v>
      </c>
      <c r="D9" s="45">
        <f>IFERROR(HistoricalFS!D33/HistoricalFS!C33-1,0)</f>
        <v>0.17177133064022465</v>
      </c>
      <c r="E9" s="45">
        <f>IFERROR(HistoricalFS!E33/HistoricalFS!D33-1,0)</f>
        <v>0.26125655544179915</v>
      </c>
      <c r="F9" s="45">
        <f>IFERROR(HistoricalFS!F33/HistoricalFS!E33-1,0)</f>
        <v>-0.13582373892155886</v>
      </c>
      <c r="G9" s="45">
        <f>IFERROR(HistoricalFS!G33/HistoricalFS!F33-1,0)</f>
        <v>-0.59366253881838671</v>
      </c>
      <c r="H9" s="45">
        <f>IFERROR(HistoricalFS!H33/HistoricalFS!G33-1,0)</f>
        <v>-0.21125630985516952</v>
      </c>
      <c r="I9" s="45">
        <f>IFERROR(HistoricalFS!I33/HistoricalFS!H33-1,0)</f>
        <v>0.19899515521263722</v>
      </c>
      <c r="J9" s="45">
        <f>IFERROR(HistoricalFS!J33/HistoricalFS!I33-1,0)</f>
        <v>1.8138780804150345</v>
      </c>
      <c r="K9" s="45">
        <f>IFERROR(HistoricalFS!K33/HistoricalFS!J33-1,0)</f>
        <v>0.59526299927314064</v>
      </c>
      <c r="L9" s="45">
        <f>IFERROR(HistoricalFS!L33/HistoricalFS!K33-1,0)</f>
        <v>-8.801564722617472E-2</v>
      </c>
      <c r="M9" s="51"/>
      <c r="N9" s="45">
        <f t="shared" si="0"/>
        <v>0.22360065401794957</v>
      </c>
      <c r="O9" s="45">
        <f t="shared" si="1"/>
        <v>0.17177133064022465</v>
      </c>
    </row>
    <row r="10" spans="2:15" x14ac:dyDescent="0.3">
      <c r="B10" s="50" t="s">
        <v>122</v>
      </c>
      <c r="D10" s="45">
        <f>IFERROR(HistoricalFS!D41/HistoricalFS!C41-1,0)</f>
        <v>1.1428571428571428</v>
      </c>
      <c r="E10" s="45">
        <f>IFERROR(HistoricalFS!E41/HistoricalFS!D41-1,0)</f>
        <v>6.6666666666666652E-2</v>
      </c>
      <c r="F10" s="45">
        <f>IFERROR(HistoricalFS!F41/HistoricalFS!E41-1,0)</f>
        <v>0</v>
      </c>
      <c r="G10" s="45">
        <f>IFERROR(HistoricalFS!G41/HistoricalFS!F41-1,0)</f>
        <v>-0.25</v>
      </c>
      <c r="H10" s="45">
        <f>IFERROR(HistoricalFS!H41/HistoricalFS!G41-1,0)</f>
        <v>-0.25</v>
      </c>
      <c r="I10" s="45">
        <f>IFERROR(HistoricalFS!I41/HistoricalFS!H41-1,0)</f>
        <v>0.33333333333333326</v>
      </c>
      <c r="J10" s="45">
        <f>IFERROR(HistoricalFS!J41/HistoricalFS!I41-1,0)</f>
        <v>0.5</v>
      </c>
      <c r="K10" s="45">
        <f>IFERROR(HistoricalFS!K41/HistoricalFS!J41-1,0)</f>
        <v>0.38934878587196486</v>
      </c>
      <c r="L10" s="45">
        <f>IFERROR(HistoricalFS!L41/HistoricalFS!K41-1,0)</f>
        <v>7.9999999999999849E-2</v>
      </c>
      <c r="M10" s="51"/>
      <c r="N10" s="45">
        <f t="shared" si="0"/>
        <v>0.22357843652545639</v>
      </c>
      <c r="O10" s="45">
        <f t="shared" si="1"/>
        <v>7.9999999999999849E-2</v>
      </c>
    </row>
    <row r="11" spans="2:15" x14ac:dyDescent="0.3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</row>
    <row r="12" spans="2:15" x14ac:dyDescent="0.3">
      <c r="B12" s="51" t="s">
        <v>123</v>
      </c>
      <c r="C12" s="45">
        <f>IFERROR(HistoricalFS!C13,0)</f>
        <v>0.27376061400614699</v>
      </c>
      <c r="D12" s="45">
        <f>IFERROR(HistoricalFS!D13,0)</f>
        <v>0.25999412499082025</v>
      </c>
      <c r="E12" s="45">
        <f>IFERROR(HistoricalFS!E13,0)</f>
        <v>0.26143787573894794</v>
      </c>
      <c r="F12" s="45">
        <f>IFERROR(HistoricalFS!F13,0)</f>
        <v>0.25674782295497195</v>
      </c>
      <c r="G12" s="45">
        <f>IFERROR(HistoricalFS!G13,0)</f>
        <v>0.23478984932593186</v>
      </c>
      <c r="H12" s="45">
        <f>IFERROR(HistoricalFS!H13,0)</f>
        <v>0.21642130392769851</v>
      </c>
      <c r="I12" s="45">
        <f>IFERROR(HistoricalFS!I13,0)</f>
        <v>0.18858754350174017</v>
      </c>
      <c r="J12" s="45">
        <f>IFERROR(HistoricalFS!J13,0)</f>
        <v>0.20728953409548082</v>
      </c>
      <c r="K12" s="45">
        <f>IFERROR(HistoricalFS!K13,0)</f>
        <v>0.23590035683520591</v>
      </c>
      <c r="L12" s="45">
        <f>IFERROR(HistoricalFS!L13,0)</f>
        <v>0.22314453316591787</v>
      </c>
      <c r="M12" s="48"/>
      <c r="N12" s="45">
        <f t="shared" si="0"/>
        <v>0.23159032717074612</v>
      </c>
      <c r="O12" s="45">
        <f t="shared" si="1"/>
        <v>0.23478984932593186</v>
      </c>
    </row>
    <row r="13" spans="2:15" x14ac:dyDescent="0.3">
      <c r="B13" s="51" t="s">
        <v>124</v>
      </c>
      <c r="C13" s="45">
        <f>IFERROR(HistoricalFS!C19,0)</f>
        <v>0.15678167705638227</v>
      </c>
      <c r="D13" s="45">
        <f>IFERROR(HistoricalFS!D19,0)</f>
        <v>0.14749210545641472</v>
      </c>
      <c r="E13" s="45">
        <f>IFERROR(HistoricalFS!E19,0)</f>
        <v>0.15234671605099137</v>
      </c>
      <c r="F13" s="45">
        <f>IFERROR(HistoricalFS!F19,0)</f>
        <v>0.130917815460941</v>
      </c>
      <c r="G13" s="45">
        <f>IFERROR(HistoricalFS!G19,0)</f>
        <v>9.4056304520222109E-2</v>
      </c>
      <c r="H13" s="45">
        <f>IFERROR(HistoricalFS!H19,0)</f>
        <v>8.077360313761156E-2</v>
      </c>
      <c r="I13" s="45">
        <f>IFERROR(HistoricalFS!I19,0)</f>
        <v>6.406558149118427E-2</v>
      </c>
      <c r="J13" s="45">
        <f>IFERROR(HistoricalFS!J19,0)</f>
        <v>9.0373245851666201E-2</v>
      </c>
      <c r="K13" s="45">
        <f>IFERROR(HistoricalFS!K19,0)</f>
        <v>0.12863338178547315</v>
      </c>
      <c r="L13" s="45">
        <f>IFERROR(HistoricalFS!L19,0)</f>
        <v>0.12422815587948702</v>
      </c>
      <c r="M13" s="51"/>
      <c r="N13" s="45">
        <f t="shared" si="0"/>
        <v>0.11254298995933237</v>
      </c>
      <c r="O13" s="45">
        <f t="shared" si="1"/>
        <v>0.12422815587948702</v>
      </c>
    </row>
    <row r="14" spans="2:15" x14ac:dyDescent="0.3">
      <c r="B14" s="51" t="s">
        <v>125</v>
      </c>
      <c r="C14" s="45">
        <f>IFERROR((HistoricalFS!C18-HistoricalFS!C24)/HistoricalFS!C6,0)</f>
        <v>0.10778273628644355</v>
      </c>
      <c r="D14" s="45">
        <f>IFERROR((HistoricalFS!D18-HistoricalFS!D24)/HistoricalFS!D6,0)</f>
        <v>0.10924726444885065</v>
      </c>
      <c r="E14" s="45">
        <f>IFERROR((HistoricalFS!E18-HistoricalFS!E24)/HistoricalFS!E6,0)</f>
        <v>0.11776682947121506</v>
      </c>
      <c r="F14" s="45">
        <f>IFERROR((HistoricalFS!F18-HistoricalFS!F24)/HistoricalFS!F6,0)</f>
        <v>9.5820189732596733E-2</v>
      </c>
      <c r="G14" s="45">
        <f>IFERROR((HistoricalFS!G18-HistoricalFS!G24)/HistoricalFS!G6,0)</f>
        <v>4.7421358710018569E-2</v>
      </c>
      <c r="H14" s="45">
        <f>IFERROR((HistoricalFS!H18-HistoricalFS!H24)/HistoricalFS!H6,0)</f>
        <v>3.765844369919856E-2</v>
      </c>
      <c r="I14" s="45">
        <f>IFERROR((HistoricalFS!I18-HistoricalFS!I24)/HistoricalFS!I6,0)</f>
        <v>3.2490733591607916E-2</v>
      </c>
      <c r="J14" s="45">
        <f>IFERROR((HistoricalFS!J18-HistoricalFS!J24)/HistoricalFS!J6,0)</f>
        <v>6.6339319204601829E-2</v>
      </c>
      <c r="K14" s="45">
        <f>IFERROR((HistoricalFS!K18-HistoricalFS!K24)/HistoricalFS!K6,0)</f>
        <v>9.1583708238226674E-2</v>
      </c>
      <c r="L14" s="45">
        <f>IFERROR((HistoricalFS!L18-HistoricalFS!L24)/HistoricalFS!L6,0)</f>
        <v>8.7552399076599091E-2</v>
      </c>
      <c r="M14" s="51"/>
      <c r="N14" s="45">
        <f t="shared" si="0"/>
        <v>7.6208916241435012E-2</v>
      </c>
      <c r="O14" s="45">
        <f t="shared" si="1"/>
        <v>8.7552399076599091E-2</v>
      </c>
    </row>
    <row r="15" spans="2:15" x14ac:dyDescent="0.3">
      <c r="B15" s="51" t="s">
        <v>126</v>
      </c>
      <c r="C15" s="45">
        <f>IFERROR(HistoricalFS!C28,0)</f>
        <v>0.10717324489051726</v>
      </c>
      <c r="D15" s="45">
        <f>IFERROR(HistoricalFS!D28,0)</f>
        <v>0.10872145112726732</v>
      </c>
      <c r="E15" s="45">
        <f>IFERROR(HistoricalFS!E28,0)</f>
        <v>0.11681205472037116</v>
      </c>
      <c r="F15" s="45">
        <f>IFERROR(HistoricalFS!F28,0)</f>
        <v>9.5154440939484261E-2</v>
      </c>
      <c r="G15" s="45">
        <f>IFERROR(HistoricalFS!G28,0)</f>
        <v>4.6853026698387583E-2</v>
      </c>
      <c r="H15" s="45">
        <f>IFERROR(HistoricalFS!H28,0)</f>
        <v>3.7000511567100561E-2</v>
      </c>
      <c r="I15" s="45">
        <f>IFERROR(HistoricalFS!I28,0)</f>
        <v>3.1951844111500406E-2</v>
      </c>
      <c r="J15" s="45">
        <f>IFERROR(HistoricalFS!J28,0)</f>
        <v>6.5941262876229173E-2</v>
      </c>
      <c r="K15" s="45">
        <f>IFERROR(HistoricalFS!K28,0)</f>
        <v>9.1180488685180042E-2</v>
      </c>
      <c r="L15" s="45">
        <f>IFERROR(HistoricalFS!L28,0)</f>
        <v>8.714890166303714E-2</v>
      </c>
      <c r="M15" s="51"/>
      <c r="N15" s="45">
        <f t="shared" si="0"/>
        <v>7.5640442487617518E-2</v>
      </c>
      <c r="O15" s="45">
        <f t="shared" si="1"/>
        <v>8.714890166303714E-2</v>
      </c>
    </row>
    <row r="16" spans="2:15" x14ac:dyDescent="0.3">
      <c r="B16" s="51" t="s">
        <v>127</v>
      </c>
      <c r="C16" s="45">
        <f>IFERROR(HistoricalFS!C34,0)</f>
        <v>7.0925003038774734E-2</v>
      </c>
      <c r="D16" s="45">
        <f>IFERROR(HistoricalFS!D34,0)</f>
        <v>7.0295953587427421E-2</v>
      </c>
      <c r="E16" s="45">
        <f>IFERROR(HistoricalFS!E34,0)</f>
        <v>7.5636453851300606E-2</v>
      </c>
      <c r="F16" s="45">
        <f>IFERROR(HistoricalFS!F34,0)</f>
        <v>6.0609863074179302E-2</v>
      </c>
      <c r="G16" s="45">
        <f>IFERROR(HistoricalFS!G34,0)</f>
        <v>2.8016124768702147E-2</v>
      </c>
      <c r="H16" s="45">
        <f>IFERROR(HistoricalFS!H34,0)</f>
        <v>2.3758028761439218E-2</v>
      </c>
      <c r="I16" s="45">
        <f>IFERROR(HistoricalFS!I34,0)</f>
        <v>2.2694492685367891E-2</v>
      </c>
      <c r="J16" s="45">
        <f>IFERROR(HistoricalFS!J34,0)</f>
        <v>4.7976844689137592E-2</v>
      </c>
      <c r="K16" s="45">
        <f>IFERROR(HistoricalFS!K34,0)</f>
        <v>6.3432357100259323E-2</v>
      </c>
      <c r="L16" s="45">
        <f>IFERROR(HistoricalFS!L34,0)</f>
        <v>5.3667117903644541E-2</v>
      </c>
      <c r="M16" s="51"/>
      <c r="N16" s="45">
        <f t="shared" si="0"/>
        <v>4.9565248491273119E-2</v>
      </c>
      <c r="O16" s="45">
        <f t="shared" si="1"/>
        <v>5.3667117903644541E-2</v>
      </c>
    </row>
    <row r="17" spans="2:15" x14ac:dyDescent="0.3"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</row>
    <row r="18" spans="2:15" x14ac:dyDescent="0.3">
      <c r="B18" s="51" t="s">
        <v>128</v>
      </c>
      <c r="C18" s="45">
        <f>IFERROR(HistoricalFS!C16,0)</f>
        <v>0.11697893694976473</v>
      </c>
      <c r="D18" s="45">
        <f>IFERROR(HistoricalFS!D16,0)</f>
        <v>0.11250201953440553</v>
      </c>
      <c r="E18" s="45">
        <f>IFERROR(HistoricalFS!E16,0)</f>
        <v>0.10909115968795656</v>
      </c>
      <c r="F18" s="45">
        <f>IFERROR(HistoricalFS!F16,0)</f>
        <v>0.12583000749403092</v>
      </c>
      <c r="G18" s="45">
        <f>IFERROR(HistoricalFS!G16,0)</f>
        <v>0.14073354480570974</v>
      </c>
      <c r="H18" s="45">
        <f>IFERROR(HistoricalFS!H16,0)</f>
        <v>0.13564770079008695</v>
      </c>
      <c r="I18" s="45">
        <f>IFERROR(HistoricalFS!I16,0)</f>
        <v>0.12452196201055589</v>
      </c>
      <c r="J18" s="45">
        <f>IFERROR(HistoricalFS!J16,0)</f>
        <v>0.1169162882438146</v>
      </c>
      <c r="K18" s="45">
        <f>IFERROR(HistoricalFS!K16,0)</f>
        <v>0.10726697504973276</v>
      </c>
      <c r="L18" s="45">
        <f>IFERROR(HistoricalFS!L16,0)</f>
        <v>9.8916377286430837E-2</v>
      </c>
      <c r="M18" s="48"/>
      <c r="N18" s="45">
        <f>IFERROR(AVERAGE(C18:K18),0)</f>
        <v>0.12105428828511752</v>
      </c>
      <c r="O18" s="45">
        <f>IFERROR(MEDIAN(C18:K18),0)</f>
        <v>0.11697893694976473</v>
      </c>
    </row>
    <row r="19" spans="2:15" x14ac:dyDescent="0.3">
      <c r="B19" s="51" t="s">
        <v>129</v>
      </c>
      <c r="C19" s="45">
        <f>IFERROR(HistoricalFS!C25,0)</f>
        <v>4.8998940769938708E-2</v>
      </c>
      <c r="D19" s="45">
        <f>IFERROR(HistoricalFS!D25,0)</f>
        <v>3.8244841007564076E-2</v>
      </c>
      <c r="E19" s="45">
        <f>IFERROR(HistoricalFS!E25,0)</f>
        <v>3.4579886579776321E-2</v>
      </c>
      <c r="F19" s="45">
        <f>IFERROR(HistoricalFS!F25,0)</f>
        <v>3.5097625728344288E-2</v>
      </c>
      <c r="G19" s="45">
        <f>IFERROR(HistoricalFS!G25,0)</f>
        <v>4.663494581020354E-2</v>
      </c>
      <c r="H19" s="45">
        <f>IFERROR(HistoricalFS!H25,0)</f>
        <v>4.3115159438413E-2</v>
      </c>
      <c r="I19" s="45">
        <f>IFERROR(HistoricalFS!I25,0)</f>
        <v>3.1574847899576361E-2</v>
      </c>
      <c r="J19" s="45">
        <f>IFERROR(HistoricalFS!J25,0)</f>
        <v>2.4033926647064375E-2</v>
      </c>
      <c r="K19" s="45">
        <f>IFERROR(HistoricalFS!K25,0)</f>
        <v>3.7049673547246476E-2</v>
      </c>
      <c r="L19" s="45">
        <f>IFERROR(HistoricalFS!L25,0)</f>
        <v>3.6675756802887913E-2</v>
      </c>
      <c r="M19" s="51"/>
      <c r="N19" s="45">
        <f>IFERROR(AVERAGE(C19:K19),0)</f>
        <v>3.7703316380903018E-2</v>
      </c>
      <c r="O19" s="45">
        <f>IFERROR(MEDIAN(C19:K19),0)</f>
        <v>3.7049673547246476E-2</v>
      </c>
    </row>
    <row r="20" spans="2:15" x14ac:dyDescent="0.3">
      <c r="B20" s="51" t="s">
        <v>130</v>
      </c>
      <c r="C20" s="45">
        <f>D14</f>
        <v>0.10924726444885065</v>
      </c>
      <c r="D20" s="45">
        <f t="shared" ref="D20:L20" si="2">E14</f>
        <v>0.11776682947121506</v>
      </c>
      <c r="E20" s="45">
        <f t="shared" si="2"/>
        <v>9.5820189732596733E-2</v>
      </c>
      <c r="F20" s="45">
        <f t="shared" si="2"/>
        <v>4.7421358710018569E-2</v>
      </c>
      <c r="G20" s="45">
        <f t="shared" si="2"/>
        <v>3.765844369919856E-2</v>
      </c>
      <c r="H20" s="45">
        <f t="shared" si="2"/>
        <v>3.2490733591607916E-2</v>
      </c>
      <c r="I20" s="45">
        <f t="shared" si="2"/>
        <v>6.6339319204601829E-2</v>
      </c>
      <c r="J20" s="45">
        <f t="shared" si="2"/>
        <v>9.1583708238226674E-2</v>
      </c>
      <c r="K20" s="45">
        <f t="shared" si="2"/>
        <v>8.7552399076599091E-2</v>
      </c>
      <c r="L20" s="45">
        <f t="shared" si="2"/>
        <v>0</v>
      </c>
      <c r="M20" s="51"/>
      <c r="N20" s="45">
        <f>IFERROR(AVERAGE(C20:K20),0)</f>
        <v>7.6208916241435012E-2</v>
      </c>
      <c r="O20" s="45">
        <f>IFERROR(MEDIAN(C20:K20),0)</f>
        <v>8.7552399076599091E-2</v>
      </c>
    </row>
    <row r="21" spans="2:15" x14ac:dyDescent="0.3">
      <c r="B21" s="55"/>
      <c r="C21" s="55"/>
      <c r="D21" s="55"/>
      <c r="E21" s="55"/>
      <c r="F21" s="55"/>
      <c r="G21" s="55"/>
      <c r="H21" s="55"/>
      <c r="I21" s="55"/>
      <c r="J21" s="55"/>
      <c r="K21" s="56"/>
      <c r="L21" s="55"/>
      <c r="M21" s="55"/>
      <c r="N21" s="55"/>
      <c r="O21" s="55"/>
    </row>
    <row r="22" spans="2:15" x14ac:dyDescent="0.3">
      <c r="B22" s="51" t="s">
        <v>131</v>
      </c>
      <c r="C22" s="45">
        <f>IFERROR((HistoricalFS!C18-HistoricalFS!C24)/SUM(HistoricalFS!C47:C49),0)</f>
        <v>0.20122281331349332</v>
      </c>
      <c r="D22" s="45">
        <f>IFERROR((HistoricalFS!D18-HistoricalFS!D24)/SUM(HistoricalFS!D47:D49),0)</f>
        <v>0.19803933575975732</v>
      </c>
      <c r="E22" s="45">
        <f>IFERROR((HistoricalFS!E18-HistoricalFS!E24)/SUM(HistoricalFS!E47:E49),0)</f>
        <v>0.22021686871195517</v>
      </c>
      <c r="F22" s="45">
        <f>IFERROR((HistoricalFS!F18-HistoricalFS!F24)/SUM(HistoricalFS!F47:F49),0)</f>
        <v>0.17453551935697556</v>
      </c>
      <c r="G22" s="45">
        <f>IFERROR((HistoricalFS!G18-HistoricalFS!G24)/SUM(HistoricalFS!G47:G49),0)</f>
        <v>7.2340923158813811E-2</v>
      </c>
      <c r="H22" s="45">
        <f>IFERROR((HistoricalFS!H18-HistoricalFS!H24)/SUM(HistoricalFS!H47:H49),0)</f>
        <v>4.9962765004760441E-2</v>
      </c>
      <c r="I22" s="45">
        <f>IFERROR((HistoricalFS!I18-HistoricalFS!I24)/SUM(HistoricalFS!I47:I49),0)</f>
        <v>5.1469717893075716E-2</v>
      </c>
      <c r="J22" s="45">
        <f>IFERROR((HistoricalFS!J18-HistoricalFS!J24)/SUM(HistoricalFS!J47:J49),0)</f>
        <v>0.12372736704178079</v>
      </c>
      <c r="K22" s="45">
        <f>IFERROR((HistoricalFS!K18-HistoricalFS!K24)/SUM(HistoricalFS!K47:K49),0)</f>
        <v>0.15150091073831617</v>
      </c>
      <c r="L22" s="45">
        <f>IFERROR((HistoricalFS!L18-HistoricalFS!L24)/SUM(HistoricalFS!L47:L49),0)</f>
        <v>0.13898402211635585</v>
      </c>
      <c r="M22" s="48"/>
      <c r="N22" s="45">
        <f>IFERROR(AVERAGE(C22:K22),0)</f>
        <v>0.13811291344210316</v>
      </c>
      <c r="O22" s="45">
        <f>IFERROR(MEDIAN(C22:K22),0)</f>
        <v>0.15150091073831617</v>
      </c>
    </row>
    <row r="23" spans="2:15" x14ac:dyDescent="0.3">
      <c r="B23" s="51" t="s">
        <v>132</v>
      </c>
      <c r="C23" s="45">
        <f>IFERROR(HistoricalFS!C44,0)</f>
        <v>0.74121679520137096</v>
      </c>
      <c r="D23" s="45">
        <f>IFERROR(HistoricalFS!D44,0)</f>
        <v>0.52675456008023192</v>
      </c>
      <c r="E23" s="45">
        <f>IFERROR(HistoricalFS!E44,0)</f>
        <v>0.59976807752836847</v>
      </c>
      <c r="F23" s="45">
        <f>IFERROR(HistoricalFS!F44,0)</f>
        <v>0.53686309090212025</v>
      </c>
      <c r="G23" s="45">
        <f>IFERROR(HistoricalFS!G44,0)</f>
        <v>0.14516205123366699</v>
      </c>
      <c r="H23" s="45">
        <f>IFERROR(HistoricalFS!H44,0)</f>
        <v>0.18715234164722794</v>
      </c>
      <c r="I23" s="45">
        <f>IFERROR(HistoricalFS!I44,0)</f>
        <v>9.6079018258010573E-2</v>
      </c>
      <c r="J23" s="45">
        <f>IFERROR(HistoricalFS!J44,0)</f>
        <v>0.51814491109259508</v>
      </c>
      <c r="K23" s="45">
        <f>IFERROR(HistoricalFS!K44,0)</f>
        <v>0.56325568990042718</v>
      </c>
      <c r="L23" s="45">
        <f>IFERROR(HistoricalFS!L44,0)</f>
        <v>0.48279391694287377</v>
      </c>
      <c r="M23" s="51"/>
      <c r="N23" s="45">
        <f>IFERROR(AVERAGE(C23:K23),0)</f>
        <v>0.43493294842711333</v>
      </c>
      <c r="O23" s="45">
        <f>IFERROR(MEDIAN(C23:K23),0)</f>
        <v>0.52675456008023192</v>
      </c>
    </row>
    <row r="24" spans="2:15" x14ac:dyDescent="0.3">
      <c r="B24" s="51" t="s">
        <v>133</v>
      </c>
      <c r="C24" s="45">
        <f>IFERROR((HistoricalFS!C33)/SUM(HistoricalFS!C47:C48),0)</f>
        <v>0.13341063496211125</v>
      </c>
      <c r="D24" s="45">
        <f>IFERROR((HistoricalFS!D33)/SUM(HistoricalFS!D47:D48),0)</f>
        <v>0.1290920321185916</v>
      </c>
      <c r="E24" s="45">
        <f>IFERROR((HistoricalFS!E33)/SUM(HistoricalFS!E47:E48),0)</f>
        <v>0.14183705597353322</v>
      </c>
      <c r="F24" s="45">
        <f>IFERROR((HistoricalFS!F33)/SUM(HistoricalFS!F47:F48),0)</f>
        <v>0.11077441863921977</v>
      </c>
      <c r="G24" s="45">
        <f>IFERROR((HistoricalFS!G33)/SUM(HistoricalFS!G47:G48),0)</f>
        <v>4.2897618035739674E-2</v>
      </c>
      <c r="H24" s="45">
        <f>IFERROR((HistoricalFS!H33)/SUM(HistoricalFS!H47:H48),0)</f>
        <v>3.184535033885328E-2</v>
      </c>
      <c r="I24" s="45">
        <f>IFERROR((HistoricalFS!I33)/SUM(HistoricalFS!I47:I48),0)</f>
        <v>3.6227601724091354E-2</v>
      </c>
      <c r="J24" s="45">
        <f>IFERROR((HistoricalFS!J33)/SUM(HistoricalFS!J47:J48),0)</f>
        <v>9.1286313769090507E-2</v>
      </c>
      <c r="K24" s="45">
        <f>IFERROR((HistoricalFS!K33)/SUM(HistoricalFS!K47:K48),0)</f>
        <v>0.10507730393759644</v>
      </c>
      <c r="L24" s="45">
        <f>IFERROR((HistoricalFS!L33)/SUM(HistoricalFS!L47:L48),0)</f>
        <v>8.52702465401564E-2</v>
      </c>
      <c r="M24" s="51"/>
      <c r="N24" s="45">
        <f>IFERROR(AVERAGE(C24:K24),0)</f>
        <v>9.1383147722091884E-2</v>
      </c>
      <c r="O24" s="45">
        <f>IFERROR(MEDIAN(C24:K24),0)</f>
        <v>0.10507730393759644</v>
      </c>
    </row>
    <row r="25" spans="2:15" x14ac:dyDescent="0.3">
      <c r="B25" s="51" t="s">
        <v>134</v>
      </c>
      <c r="C25" s="45">
        <f>IFERROR(C23*C24,0)</f>
        <v>9.8886203292396072E-2</v>
      </c>
      <c r="D25" s="45">
        <f t="shared" ref="D25:L25" si="3">IFERROR(D23*D24,0)</f>
        <v>6.7999816588491885E-2</v>
      </c>
      <c r="E25" s="45">
        <f t="shared" si="3"/>
        <v>8.5069338383529605E-2</v>
      </c>
      <c r="F25" s="45">
        <f t="shared" si="3"/>
        <v>5.9470696783536968E-2</v>
      </c>
      <c r="G25" s="45">
        <f t="shared" si="3"/>
        <v>6.2271062271063195E-3</v>
      </c>
      <c r="H25" s="45">
        <f t="shared" si="3"/>
        <v>5.959931886492735E-3</v>
      </c>
      <c r="I25" s="45">
        <f t="shared" si="3"/>
        <v>3.4807124074929087E-3</v>
      </c>
      <c r="J25" s="45">
        <f t="shared" si="3"/>
        <v>4.7299538931856136E-2</v>
      </c>
      <c r="K25" s="45">
        <f t="shared" si="3"/>
        <v>5.9185389322247754E-2</v>
      </c>
      <c r="L25" s="45">
        <f t="shared" si="3"/>
        <v>4.1167956325806637E-2</v>
      </c>
      <c r="M25" s="51"/>
      <c r="N25" s="45">
        <f>IFERROR(AVERAGE(C25:K25),0)</f>
        <v>4.8175414869238931E-2</v>
      </c>
      <c r="O25" s="45">
        <f>IFERROR(MEDIAN(C25:K25),0)</f>
        <v>5.9185389322247754E-2</v>
      </c>
    </row>
    <row r="26" spans="2:15" x14ac:dyDescent="0.3">
      <c r="B26" s="51" t="s">
        <v>135</v>
      </c>
      <c r="C26" s="46">
        <f>IFERROR((HistoricalFS!C18-HistoricalFS!C24)/HistoricalFS!C21,0)</f>
        <v>176.84045584045577</v>
      </c>
      <c r="D26" s="46">
        <f>IFERROR((HistoricalFS!D18-HistoricalFS!D24)/HistoricalFS!D21,0)</f>
        <v>207.76815642458092</v>
      </c>
      <c r="E26" s="46">
        <f>IFERROR((HistoricalFS!E18-HistoricalFS!E24)/HistoricalFS!E21,0)</f>
        <v>123.34514435695525</v>
      </c>
      <c r="F26" s="46">
        <f>IFERROR((HistoricalFS!F18-HistoricalFS!F24)/HistoricalFS!F21,0)</f>
        <v>143.92844677137876</v>
      </c>
      <c r="G26" s="46">
        <f>IFERROR((HistoricalFS!G18-HistoricalFS!G24)/HistoricalFS!G21,0)</f>
        <v>83.439534883721038</v>
      </c>
      <c r="H26" s="46">
        <f>IFERROR((HistoricalFS!H18-HistoricalFS!H24)/HistoricalFS!H21,0)</f>
        <v>57.237580993520538</v>
      </c>
      <c r="I26" s="46">
        <f>IFERROR((HistoricalFS!I18-HistoricalFS!I24)/HistoricalFS!I21,0)</f>
        <v>60.29201680672287</v>
      </c>
      <c r="J26" s="46">
        <f>IFERROR((HistoricalFS!J18-HistoricalFS!J24)/HistoricalFS!J21,0)</f>
        <v>166.65811965811974</v>
      </c>
      <c r="K26" s="46">
        <f>IFERROR((HistoricalFS!K18-HistoricalFS!K24)/HistoricalFS!K21,0)</f>
        <v>227.13111888111902</v>
      </c>
      <c r="L26" s="46">
        <f>IFERROR((HistoricalFS!L18-HistoricalFS!L24)/HistoricalFS!L21,0)</f>
        <v>216.98379254457046</v>
      </c>
      <c r="M26" s="51"/>
      <c r="N26" s="46">
        <f>IFERROR(AVERAGE(C26:K26),0)</f>
        <v>138.51561940184155</v>
      </c>
      <c r="O26" s="46">
        <f>IFERROR(MEDIAN(C26:K26),0)</f>
        <v>143.92844677137876</v>
      </c>
    </row>
    <row r="27" spans="2:15" x14ac:dyDescent="0.3"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</row>
    <row r="28" spans="2:15" x14ac:dyDescent="0.3">
      <c r="B28" s="51" t="s">
        <v>136</v>
      </c>
      <c r="C28" s="46">
        <f>IFERROR(HistoricalFS!C6/HistoricalFS!C59,0)</f>
        <v>43.51594378116971</v>
      </c>
      <c r="D28" s="46">
        <f>IFERROR(HistoricalFS!D6/HistoricalFS!D59,0)</f>
        <v>56.614834525195413</v>
      </c>
      <c r="E28" s="46">
        <f>IFERROR(HistoricalFS!E6/HistoricalFS!E59,0)</f>
        <v>54.462535826395516</v>
      </c>
      <c r="F28" s="46">
        <f>IFERROR(HistoricalFS!F6/HistoricalFS!F59,0)</f>
        <v>37.213983050847453</v>
      </c>
      <c r="G28" s="46">
        <f>IFERROR(HistoricalFS!G6/HistoricalFS!G59,0)</f>
        <v>38.256560651261566</v>
      </c>
      <c r="H28" s="46">
        <f>IFERROR(HistoricalFS!H6/HistoricalFS!H59,0)</f>
        <v>54.98242050160168</v>
      </c>
      <c r="I28" s="46">
        <f>IFERROR(HistoricalFS!I6/HistoricalFS!I59,0)</f>
        <v>43.415974440894573</v>
      </c>
      <c r="J28" s="46">
        <f>IFERROR(HistoricalFS!J6/HistoricalFS!J59,0)</f>
        <v>35.612558308596356</v>
      </c>
      <c r="K28" s="46">
        <f>IFERROR(HistoricalFS!K6/HistoricalFS!K59,0)</f>
        <v>30.860207100591719</v>
      </c>
      <c r="L28" s="46">
        <f>IFERROR(HistoricalFS!L6/HistoricalFS!L59,0)</f>
        <v>23.382265241524841</v>
      </c>
      <c r="M28" s="48"/>
      <c r="N28" s="46">
        <f>IFERROR(AVERAGE(C28:K28),0)</f>
        <v>43.881668687394885</v>
      </c>
      <c r="O28" s="46">
        <f>IFERROR(MEDIAN(C28:K28),0)</f>
        <v>43.415974440894573</v>
      </c>
    </row>
    <row r="29" spans="2:15" x14ac:dyDescent="0.3">
      <c r="B29" s="51" t="s">
        <v>137</v>
      </c>
      <c r="C29" s="46">
        <f>IFERROR(HistoricalFS!C6/HistoricalFS!C50,0)</f>
        <v>4.8481302510396844</v>
      </c>
      <c r="D29" s="46">
        <f>IFERROR(HistoricalFS!D6/HistoricalFS!D50,0)</f>
        <v>4.7275340582427203</v>
      </c>
      <c r="E29" s="46">
        <f>IFERROR(HistoricalFS!E6/HistoricalFS!E50,0)</f>
        <v>4.5428330733939726</v>
      </c>
      <c r="F29" s="46">
        <f>IFERROR(HistoricalFS!F6/HistoricalFS!F50,0)</f>
        <v>5.1485613447388889</v>
      </c>
      <c r="G29" s="46">
        <f>IFERROR(HistoricalFS!G6/HistoricalFS!G50,0)</f>
        <v>5.3924992516357104</v>
      </c>
      <c r="H29" s="46">
        <f>IFERROR(HistoricalFS!H6/HistoricalFS!H50,0)</f>
        <v>3.8382075420243695</v>
      </c>
      <c r="I29" s="46">
        <f>IFERROR(HistoricalFS!I6/HistoricalFS!I50,0)</f>
        <v>4.6744000211679415</v>
      </c>
      <c r="J29" s="46">
        <f>IFERROR(HistoricalFS!J6/HistoricalFS!J50,0)</f>
        <v>5.4536443040499485</v>
      </c>
      <c r="K29" s="46">
        <f>IFERROR(HistoricalFS!K6/HistoricalFS!K50,0)</f>
        <v>4.8006971353153185</v>
      </c>
      <c r="L29" s="46">
        <f>IFERROR(HistoricalFS!L6/HistoricalFS!L50,0)</f>
        <v>4.2899706264395707</v>
      </c>
      <c r="M29" s="51"/>
      <c r="N29" s="46">
        <f>IFERROR(AVERAGE(C29:K29),0)</f>
        <v>4.8251674424009501</v>
      </c>
      <c r="O29" s="46">
        <f>IFERROR(MEDIAN(C29:K29),0)</f>
        <v>4.8006971353153185</v>
      </c>
    </row>
    <row r="30" spans="2:15" x14ac:dyDescent="0.3">
      <c r="B30" s="51" t="s">
        <v>138</v>
      </c>
      <c r="C30" s="46">
        <f>IFERROR(HistoricalFS!C6/HistoricalFS!C60,0)</f>
        <v>18.383770669731213</v>
      </c>
      <c r="D30" s="46">
        <f>IFERROR(HistoricalFS!D6/HistoricalFS!D60,0)</f>
        <v>20.861292398198366</v>
      </c>
      <c r="E30" s="46">
        <f>IFERROR(HistoricalFS!E6/HistoricalFS!E60,0)</f>
        <v>25.254540851844819</v>
      </c>
      <c r="F30" s="46">
        <f>IFERROR(HistoricalFS!F6/HistoricalFS!F60,0)</f>
        <v>25.903960753626677</v>
      </c>
      <c r="G30" s="46">
        <f>IFERROR(HistoricalFS!G6/HistoricalFS!G60,0)</f>
        <v>23.541491645664145</v>
      </c>
      <c r="H30" s="46">
        <f>IFERROR(HistoricalFS!H6/HistoricalFS!H60,0)</f>
        <v>23.080354214496555</v>
      </c>
      <c r="I30" s="46">
        <f>IFERROR(HistoricalFS!I6/HistoricalFS!I60,0)</f>
        <v>25.006313167058291</v>
      </c>
      <c r="J30" s="46">
        <f>IFERROR(HistoricalFS!J6/HistoricalFS!J60,0)</f>
        <v>27.447484533675734</v>
      </c>
      <c r="K30" s="46">
        <f>IFERROR(HistoricalFS!K6/HistoricalFS!K60,0)</f>
        <v>26.674601831481169</v>
      </c>
      <c r="L30" s="46">
        <f>IFERROR(HistoricalFS!L6/HistoricalFS!L60,0)</f>
        <v>22.118989758722446</v>
      </c>
      <c r="M30" s="51"/>
      <c r="N30" s="46">
        <f>IFERROR(AVERAGE(C30:K30),0)</f>
        <v>24.017090007308553</v>
      </c>
      <c r="O30" s="46">
        <f>IFERROR(MEDIAN(C30:K30),0)</f>
        <v>25.006313167058291</v>
      </c>
    </row>
    <row r="31" spans="2:15" x14ac:dyDescent="0.3">
      <c r="B31" s="51" t="s">
        <v>139</v>
      </c>
      <c r="C31" s="46">
        <f>IFERROR(HistoricalFS!C6/HistoricalFS!C53,0)</f>
        <v>4.5962361128846894</v>
      </c>
      <c r="D31" s="46">
        <f>IFERROR(HistoricalFS!D6/HistoricalFS!D53,0)</f>
        <v>5.1150578106335498</v>
      </c>
      <c r="E31" s="46">
        <f>IFERROR(HistoricalFS!E6/HistoricalFS!E53,0)</f>
        <v>5.9609076242829824</v>
      </c>
      <c r="F31" s="46">
        <f>IFERROR(HistoricalFS!F6/HistoricalFS!F53,0)</f>
        <v>5.5753596807731922</v>
      </c>
      <c r="G31" s="46">
        <f>IFERROR(HistoricalFS!G6/HistoricalFS!G53,0)</f>
        <v>4.8055181524859636</v>
      </c>
      <c r="H31" s="46">
        <f>IFERROR(HistoricalFS!H6/HistoricalFS!H53,0)</f>
        <v>4.6950035693555812</v>
      </c>
      <c r="I31" s="46">
        <f>IFERROR(HistoricalFS!I6/HistoricalFS!I53,0)</f>
        <v>6.4252938780260704</v>
      </c>
      <c r="J31" s="46">
        <f>IFERROR(HistoricalFS!J6/HistoricalFS!J53,0)</f>
        <v>6.5938677763819094</v>
      </c>
      <c r="K31" s="46">
        <f>IFERROR(HistoricalFS!K6/HistoricalFS!K53,0)</f>
        <v>5.0909462834831043</v>
      </c>
      <c r="L31" s="46">
        <f>IFERROR(HistoricalFS!L6/HistoricalFS!L53,0)</f>
        <v>4.6361577433017915</v>
      </c>
      <c r="M31" s="51"/>
      <c r="N31" s="46">
        <f>IFERROR(AVERAGE(C31:K31),0)</f>
        <v>5.4286878764785609</v>
      </c>
      <c r="O31" s="46">
        <f>IFERROR(MEDIAN(C31:K31),0)</f>
        <v>5.1150578106335498</v>
      </c>
    </row>
    <row r="32" spans="2:15" x14ac:dyDescent="0.3">
      <c r="B32" s="51" t="s">
        <v>140</v>
      </c>
      <c r="C32" s="46">
        <f>IFERROR(HistoricalFS!C6/SUM(HistoricalFS!C47:C48),0)</f>
        <v>1.8810099294486542</v>
      </c>
      <c r="D32" s="46">
        <f>IFERROR(HistoricalFS!D6/SUM(HistoricalFS!D47:D48),0)</f>
        <v>1.8364077237822691</v>
      </c>
      <c r="E32" s="46">
        <f>IFERROR(HistoricalFS!E6/SUM(HistoricalFS!E47:E48),0)</f>
        <v>1.8752473014187228</v>
      </c>
      <c r="F32" s="46">
        <f>IFERROR(HistoricalFS!F6/SUM(HistoricalFS!F47:F48),0)</f>
        <v>1.8276632386323821</v>
      </c>
      <c r="G32" s="46">
        <f>IFERROR(HistoricalFS!G6/SUM(HistoricalFS!G47:G48),0)</f>
        <v>1.5311760063141278</v>
      </c>
      <c r="H32" s="46">
        <f>IFERROR(HistoricalFS!H6/SUM(HistoricalFS!H47:H48),0)</f>
        <v>1.3404037287192909</v>
      </c>
      <c r="I32" s="46">
        <f>IFERROR(HistoricalFS!I6/SUM(HistoricalFS!I47:I48),0)</f>
        <v>1.5963168785636188</v>
      </c>
      <c r="J32" s="46">
        <f>IFERROR(HistoricalFS!J6/SUM(HistoricalFS!J47:J48),0)</f>
        <v>1.9027160781533969</v>
      </c>
      <c r="K32" s="46">
        <f>IFERROR(HistoricalFS!K6/SUM(HistoricalFS!K47:K48),0)</f>
        <v>1.6565252931010324</v>
      </c>
      <c r="L32" s="46">
        <f>IFERROR(HistoricalFS!L6/SUM(HistoricalFS!L47:L48),0)</f>
        <v>1.5888732220212201</v>
      </c>
      <c r="M32" s="51"/>
      <c r="N32" s="46">
        <f>IFERROR(AVERAGE(C32:K32),0)</f>
        <v>1.7163851309037215</v>
      </c>
      <c r="O32" s="46">
        <f>IFERROR(MEDIAN(C32:K32),0)</f>
        <v>1.8276632386323821</v>
      </c>
    </row>
    <row r="33" spans="2:15" x14ac:dyDescent="0.3"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</row>
    <row r="34" spans="2:15" x14ac:dyDescent="0.3">
      <c r="B34" s="57" t="s">
        <v>141</v>
      </c>
      <c r="M34" s="48"/>
      <c r="N34" s="45"/>
      <c r="O34" s="45"/>
    </row>
    <row r="35" spans="2:15" x14ac:dyDescent="0.3">
      <c r="B35" s="51" t="s">
        <v>142</v>
      </c>
      <c r="C35" s="53">
        <f>365/C28</f>
        <v>8.3877302957161959</v>
      </c>
      <c r="D35" s="53">
        <f t="shared" ref="D35:L35" si="4">365/D28</f>
        <v>6.4470735110523609</v>
      </c>
      <c r="E35" s="53">
        <f t="shared" si="4"/>
        <v>6.7018546687482941</v>
      </c>
      <c r="F35" s="53">
        <f t="shared" si="4"/>
        <v>9.8081411898662125</v>
      </c>
      <c r="G35" s="53">
        <f t="shared" si="4"/>
        <v>9.5408472112080354</v>
      </c>
      <c r="H35" s="53">
        <f t="shared" si="4"/>
        <v>6.6384854771784241</v>
      </c>
      <c r="I35" s="53">
        <f t="shared" si="4"/>
        <v>8.4070438289229674</v>
      </c>
      <c r="J35" s="53">
        <f t="shared" si="4"/>
        <v>10.249193468133804</v>
      </c>
      <c r="K35" s="53">
        <f t="shared" si="4"/>
        <v>11.827529180547899</v>
      </c>
      <c r="L35" s="53">
        <f t="shared" si="4"/>
        <v>15.610121441604049</v>
      </c>
      <c r="M35" s="51"/>
      <c r="N35" s="47">
        <f>IFERROR(AVERAGE(C35:K35),0)</f>
        <v>8.6675443145971318</v>
      </c>
      <c r="O35" s="47">
        <f>IFERROR(MEDIAN(C35:K35),0)</f>
        <v>8.4070438289229674</v>
      </c>
    </row>
    <row r="36" spans="2:15" x14ac:dyDescent="0.3">
      <c r="B36" s="51" t="s">
        <v>143</v>
      </c>
      <c r="C36" s="53">
        <f>365/C29</f>
        <v>75.286756151348357</v>
      </c>
      <c r="D36" s="53">
        <f t="shared" ref="D36:L36" si="5">365/D29</f>
        <v>77.207270323859873</v>
      </c>
      <c r="E36" s="53">
        <f t="shared" si="5"/>
        <v>80.346337649449822</v>
      </c>
      <c r="F36" s="53">
        <f t="shared" si="5"/>
        <v>70.893590570301555</v>
      </c>
      <c r="G36" s="53">
        <f t="shared" si="5"/>
        <v>67.686611155167853</v>
      </c>
      <c r="H36" s="53">
        <f t="shared" si="5"/>
        <v>95.09647302904564</v>
      </c>
      <c r="I36" s="53">
        <f t="shared" si="5"/>
        <v>78.084887546445245</v>
      </c>
      <c r="J36" s="53">
        <f t="shared" si="5"/>
        <v>66.927723857778219</v>
      </c>
      <c r="K36" s="53">
        <f t="shared" si="5"/>
        <v>76.030624243082173</v>
      </c>
      <c r="L36" s="53">
        <f t="shared" si="5"/>
        <v>85.082167637807117</v>
      </c>
      <c r="M36" s="51"/>
      <c r="N36" s="47">
        <f>IFERROR(AVERAGE(C36:K36),0)</f>
        <v>76.395586058497628</v>
      </c>
      <c r="O36" s="47">
        <f>IFERROR(MEDIAN(C36:K36),0)</f>
        <v>76.030624243082173</v>
      </c>
    </row>
    <row r="37" spans="2:15" x14ac:dyDescent="0.3">
      <c r="B37" s="51" t="s">
        <v>144</v>
      </c>
      <c r="C37" s="53">
        <f>365/C30</f>
        <v>19.854468735348764</v>
      </c>
      <c r="D37" s="53">
        <f t="shared" ref="D37:L37" si="6">365/D30</f>
        <v>17.496519057061025</v>
      </c>
      <c r="E37" s="53">
        <f t="shared" si="6"/>
        <v>14.452846406563639</v>
      </c>
      <c r="F37" s="53">
        <f t="shared" si="6"/>
        <v>14.090509303636058</v>
      </c>
      <c r="G37" s="53">
        <f t="shared" si="6"/>
        <v>15.504540047581285</v>
      </c>
      <c r="H37" s="53">
        <f t="shared" si="6"/>
        <v>15.814315352697095</v>
      </c>
      <c r="I37" s="53">
        <f t="shared" si="6"/>
        <v>14.596314041240895</v>
      </c>
      <c r="J37" s="53">
        <f t="shared" si="6"/>
        <v>13.298122075710653</v>
      </c>
      <c r="K37" s="53">
        <f t="shared" si="6"/>
        <v>13.683428240313214</v>
      </c>
      <c r="L37" s="53">
        <f t="shared" si="6"/>
        <v>16.501657805418766</v>
      </c>
      <c r="M37" s="51"/>
      <c r="N37" s="47">
        <f>IFERROR(AVERAGE(C37:K37),0)</f>
        <v>15.421229251128068</v>
      </c>
      <c r="O37" s="47">
        <f>IFERROR(MEDIAN(C37:K37),0)</f>
        <v>14.596314041240895</v>
      </c>
    </row>
    <row r="38" spans="2:15" x14ac:dyDescent="0.3">
      <c r="B38" s="51" t="s">
        <v>145</v>
      </c>
      <c r="C38" s="47">
        <f>SUM(C35,C37)/C36</f>
        <v>0.37512838213257449</v>
      </c>
      <c r="D38" s="47">
        <f t="shared" ref="D38:L38" si="7">SUM(D35,D37)/D36</f>
        <v>0.31012095710258442</v>
      </c>
      <c r="E38" s="47">
        <f t="shared" si="7"/>
        <v>0.26329390603476738</v>
      </c>
      <c r="F38" s="47">
        <f t="shared" si="7"/>
        <v>0.3371059400610158</v>
      </c>
      <c r="G38" s="47">
        <f t="shared" si="7"/>
        <v>0.37001981383547389</v>
      </c>
      <c r="H38" s="47">
        <f t="shared" si="7"/>
        <v>0.23610550543780615</v>
      </c>
      <c r="I38" s="47">
        <f t="shared" si="7"/>
        <v>0.29459423702802107</v>
      </c>
      <c r="J38" s="47">
        <f t="shared" si="7"/>
        <v>0.35183200901740852</v>
      </c>
      <c r="K38" s="47">
        <f t="shared" si="7"/>
        <v>0.33553528824514794</v>
      </c>
      <c r="L38" s="47">
        <f t="shared" si="7"/>
        <v>0.37742079378750598</v>
      </c>
      <c r="M38" s="51"/>
      <c r="N38" s="47">
        <f>IFERROR(AVERAGE(C38:K38),0)</f>
        <v>0.31930400432164441</v>
      </c>
      <c r="O38" s="47">
        <f>IFERROR(MEDIAN(C38:K38),0)</f>
        <v>0.33553528824514794</v>
      </c>
    </row>
    <row r="39" spans="2:15" x14ac:dyDescent="0.3"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</row>
    <row r="40" spans="2:15" x14ac:dyDescent="0.3">
      <c r="B40" s="51" t="s">
        <v>146</v>
      </c>
      <c r="C40" s="45">
        <f>IFERROR(HistoricalFS!C78/HistoricalFS!C6,0)</f>
        <v>0.12493705395127541</v>
      </c>
      <c r="D40" s="45">
        <f>IFERROR(HistoricalFS!D78/HistoricalFS!D6,0)</f>
        <v>0.14602335316148932</v>
      </c>
      <c r="E40" s="45">
        <f>IFERROR(HistoricalFS!E78/HistoricalFS!E6,0)</f>
        <v>0.15630990835665975</v>
      </c>
      <c r="F40" s="45">
        <f>IFERROR(HistoricalFS!F78/HistoricalFS!F6,0)</f>
        <v>0.16959747178119752</v>
      </c>
      <c r="G40" s="45">
        <f>IFERROR(HistoricalFS!G78/HistoricalFS!G6,0)</f>
        <v>6.9865186360031722E-2</v>
      </c>
      <c r="H40" s="45">
        <f>IFERROR(HistoricalFS!H78/HistoricalFS!H6,0)</f>
        <v>1.3144432444722333E-2</v>
      </c>
      <c r="I40" s="45">
        <f>IFERROR(HistoricalFS!I78/HistoricalFS!I6,0)</f>
        <v>0.14934937020122313</v>
      </c>
      <c r="J40" s="45">
        <f>IFERROR(HistoricalFS!J78/HistoricalFS!J6,0)</f>
        <v>-8.267323743124385E-3</v>
      </c>
      <c r="K40" s="45">
        <f>IFERROR(HistoricalFS!K78/HistoricalFS!K6,0)</f>
        <v>6.7856493315155544E-2</v>
      </c>
      <c r="L40" s="45">
        <f>IFERROR(HistoricalFS!L78/HistoricalFS!L6,0)</f>
        <v>0.1211277000647427</v>
      </c>
      <c r="M40" s="48"/>
      <c r="N40" s="45">
        <f>IFERROR(AVERAGE(C40:K40),0)</f>
        <v>9.8757327314292251E-2</v>
      </c>
      <c r="O40" s="45">
        <f>IFERROR(MEDIAN(C40:K40),0)</f>
        <v>0.12493705395127541</v>
      </c>
    </row>
    <row r="41" spans="2:15" x14ac:dyDescent="0.3">
      <c r="B41" s="51" t="s">
        <v>147</v>
      </c>
      <c r="C41" s="45">
        <f>IFERROR(HistoricalFS!C78/HistoricalFS!C64,0)</f>
        <v>0.16840060385484079</v>
      </c>
      <c r="D41" s="45">
        <f>IFERROR(HistoricalFS!D78/HistoricalFS!D64,0)</f>
        <v>0.19133765071544731</v>
      </c>
      <c r="E41" s="45">
        <f>IFERROR(HistoricalFS!E78/HistoricalFS!E64,0)</f>
        <v>0.20705944058265446</v>
      </c>
      <c r="F41" s="45">
        <f>IFERROR(HistoricalFS!F78/HistoricalFS!F64,0)</f>
        <v>0.22818972403691182</v>
      </c>
      <c r="G41" s="45">
        <f>IFERROR(HistoricalFS!G78/HistoricalFS!G64,0)</f>
        <v>8.3077024629210239E-2</v>
      </c>
      <c r="H41" s="45">
        <f>IFERROR(HistoricalFS!H78/HistoricalFS!H64,0)</f>
        <v>1.29595200634386E-2</v>
      </c>
      <c r="I41" s="45">
        <f>IFERROR(HistoricalFS!I78/HistoricalFS!I64,0)</f>
        <v>0.1767049982921553</v>
      </c>
      <c r="J41" s="45">
        <f>IFERROR(HistoricalFS!J78/HistoricalFS!J64,0)</f>
        <v>-1.148978272253475E-2</v>
      </c>
      <c r="K41" s="45">
        <f>IFERROR(HistoricalFS!K78/HistoricalFS!K64,0)</f>
        <v>8.3483588181166149E-2</v>
      </c>
      <c r="L41" s="45">
        <f>IFERROR(HistoricalFS!L78/HistoricalFS!L64,0)</f>
        <v>0.14034880337528191</v>
      </c>
      <c r="M41" s="51"/>
      <c r="N41" s="45">
        <f>IFERROR(AVERAGE(C41:K41),0)</f>
        <v>0.12663586307036556</v>
      </c>
      <c r="O41" s="45">
        <f>IFERROR(MEDIAN(C41:K41),0)</f>
        <v>0.16840060385484079</v>
      </c>
    </row>
    <row r="42" spans="2:15" x14ac:dyDescent="0.3">
      <c r="B42" s="51" t="s">
        <v>148</v>
      </c>
      <c r="C42" s="45">
        <f>IFERROR(HistoricalFS!C78/HistoricalFS!C49,0)</f>
        <v>31.160675617150282</v>
      </c>
      <c r="D42" s="45">
        <f>IFERROR(HistoricalFS!D78/HistoricalFS!D49,0)</f>
        <v>20.558312655086848</v>
      </c>
      <c r="E42" s="45">
        <f>IFERROR(HistoricalFS!E78/HistoricalFS!E49,0)</f>
        <v>103.26986754966887</v>
      </c>
      <c r="F42" s="45">
        <f>IFERROR(HistoricalFS!F78/HistoricalFS!F49,0)</f>
        <v>91.459899749373434</v>
      </c>
      <c r="G42" s="45">
        <f>IFERROR(HistoricalFS!G78/HistoricalFS!G49,0)</f>
        <v>28.712656165127648</v>
      </c>
      <c r="H42" s="45">
        <f>IFERROR(HistoricalFS!H78/HistoricalFS!H49,0)</f>
        <v>1.7101127750046219</v>
      </c>
      <c r="I42" s="45">
        <f>IFERROR(HistoricalFS!I78/HistoricalFS!I49,0)</f>
        <v>31.003525264394831</v>
      </c>
      <c r="J42" s="45">
        <f>IFERROR(HistoricalFS!J78/HistoricalFS!J49,0)</f>
        <v>-0.77928325182393976</v>
      </c>
      <c r="K42" s="45">
        <f>IFERROR(HistoricalFS!K78/HistoricalFS!K49,0)</f>
        <v>81.163575042158513</v>
      </c>
      <c r="L42" s="45">
        <f>IFERROR(HistoricalFS!L78/HistoricalFS!L49,0)</f>
        <v>212.89655172413794</v>
      </c>
      <c r="M42" s="51"/>
      <c r="N42" s="45">
        <f>IFERROR(AVERAGE(C42:K42),0)</f>
        <v>43.139926840682357</v>
      </c>
      <c r="O42" s="45">
        <f>IFERROR(MEDIAN(C42:K42),0)</f>
        <v>31.003525264394831</v>
      </c>
    </row>
    <row r="43" spans="2:15" x14ac:dyDescent="0.3"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  <x14:sparkline>
              <xm:f>'Ratio Analysis'!D14:L14</xm:f>
              <xm:sqref>M14</xm:sqref>
            </x14:sparkline>
            <x14:sparkline>
              <xm:f>'Ratio Analysis'!D15:L15</xm:f>
              <xm:sqref>M15</xm:sqref>
            </x14:sparkline>
            <x14:sparkline>
              <xm:f>'Ratio Analysis'!D16:L16</xm:f>
              <xm:sqref>M16</xm:sqref>
            </x14:sparkline>
          </x14:sparklines>
        </x14:sparklineGroup>
        <x14:sparklineGroup displayEmptyCellsAs="gap" markers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</x14:sparklines>
        </x14:sparklineGroup>
        <x14:sparklineGroup displayEmptyCellsAs="gap" markers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Analysis'!C18:K18</xm:f>
              <xm:sqref>M18</xm:sqref>
            </x14:sparkline>
            <x14:sparkline>
              <xm:f>'Ratio Analysis'!C19:K19</xm:f>
              <xm:sqref>M19</xm:sqref>
            </x14:sparkline>
            <x14:sparkline>
              <xm:f>'Ratio Analysis'!C20:K20</xm:f>
              <xm:sqref>M20</xm:sqref>
            </x14:sparkline>
          </x14:sparklines>
        </x14:sparklineGroup>
        <x14:sparklineGroup displayEmptyCellsAs="gap" markers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Analysis'!C22:K22</xm:f>
              <xm:sqref>M22</xm:sqref>
            </x14:sparkline>
            <x14:sparkline>
              <xm:f>'Ratio Analysis'!C23:K23</xm:f>
              <xm:sqref>M23</xm:sqref>
            </x14:sparkline>
            <x14:sparkline>
              <xm:f>'Ratio Analysis'!C24:K24</xm:f>
              <xm:sqref>M24</xm:sqref>
            </x14:sparkline>
            <x14:sparkline>
              <xm:f>'Ratio Analysis'!C25:K25</xm:f>
              <xm:sqref>M25</xm:sqref>
            </x14:sparkline>
            <x14:sparkline>
              <xm:f>'Ratio Analysis'!C26:K26</xm:f>
              <xm:sqref>M26</xm:sqref>
            </x14:sparkline>
          </x14:sparklines>
        </x14:sparklineGroup>
        <x14:sparklineGroup displayEmptyCellsAs="gap" markers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Analysis'!C35:K35</xm:f>
              <xm:sqref>M35</xm:sqref>
            </x14:sparkline>
            <x14:sparkline>
              <xm:f>'Ratio Analysis'!C36:K36</xm:f>
              <xm:sqref>M36</xm:sqref>
            </x14:sparkline>
            <x14:sparkline>
              <xm:f>'Ratio Analysis'!C37:K37</xm:f>
              <xm:sqref>M37</xm:sqref>
            </x14:sparkline>
            <x14:sparkline>
              <xm:f>'Ratio Analysis'!C38:K38</xm:f>
              <xm:sqref>M38</xm:sqref>
            </x14:sparkline>
          </x14:sparklines>
        </x14:sparklineGroup>
        <x14:sparklineGroup displayEmptyCellsAs="gap" markers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Analysis'!C40:K40</xm:f>
              <xm:sqref>M40</xm:sqref>
            </x14:sparkline>
            <x14:sparkline>
              <xm:f>'Ratio Analysis'!C41:K41</xm:f>
              <xm:sqref>M41</xm:sqref>
            </x14:sparkline>
            <x14:sparkline>
              <xm:f>'Ratio Analysis'!C42:K42</xm:f>
              <xm:sqref>M42</xm:sqref>
            </x14:sparkline>
          </x14:sparklines>
        </x14:sparklineGroup>
        <x14:sparklineGroup displayEmptyCellsAs="gap" markers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'Ratio Analysis'!C28:K28</xm:f>
              <xm:sqref>M28</xm:sqref>
            </x14:sparkline>
            <x14:sparkline>
              <xm:f>'Ratio Analysis'!C29:K29</xm:f>
              <xm:sqref>M29</xm:sqref>
            </x14:sparkline>
            <x14:sparkline>
              <xm:f>'Ratio Analysis'!C30:K30</xm:f>
              <xm:sqref>M30</xm:sqref>
            </x14:sparkline>
            <x14:sparkline>
              <xm:f>'Ratio Analysis'!C31:K31</xm:f>
              <xm:sqref>M31</xm:sqref>
            </x14:sparkline>
            <x14:sparkline>
              <xm:f>'Ratio Analysis'!C32:K32</xm:f>
              <xm:sqref>M32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5"/>
  <sheetViews>
    <sheetView showGridLines="0" zoomScaleNormal="100" workbookViewId="0">
      <selection activeCell="C6" sqref="C6"/>
    </sheetView>
  </sheetViews>
  <sheetFormatPr defaultRowHeight="14.4" x14ac:dyDescent="0.3"/>
  <cols>
    <col min="1" max="1" width="1.88671875" customWidth="1"/>
    <col min="2" max="2" width="22.33203125" bestFit="1" customWidth="1"/>
    <col min="3" max="3" width="12.6640625" customWidth="1"/>
    <col min="4" max="4" width="16.88671875" customWidth="1"/>
    <col min="5" max="5" width="14.21875" customWidth="1"/>
    <col min="6" max="6" width="13.21875" customWidth="1"/>
    <col min="7" max="7" width="14.33203125" customWidth="1"/>
  </cols>
  <sheetData>
    <row r="2" spans="2:13" x14ac:dyDescent="0.3">
      <c r="B2" s="146" t="str">
        <f>"Revenue Projections &amp; Growth Assumptions - "&amp;'Data Sheet'!B1</f>
        <v>Revenue Projections &amp; Growth Assumptions - MARUTI SUZUKI INDIA LTD</v>
      </c>
      <c r="C2" s="146"/>
      <c r="D2" s="146"/>
      <c r="E2" s="146"/>
      <c r="F2" s="146"/>
      <c r="G2" s="146"/>
      <c r="H2" s="64"/>
      <c r="I2" s="64"/>
      <c r="J2" s="64"/>
      <c r="K2" s="64"/>
      <c r="L2" s="64"/>
      <c r="M2" s="64"/>
    </row>
    <row r="3" spans="2:13" x14ac:dyDescent="0.3">
      <c r="B3" s="8" t="s">
        <v>54</v>
      </c>
      <c r="C3" s="63">
        <v>2026</v>
      </c>
      <c r="D3" s="63">
        <f>C3+1</f>
        <v>2027</v>
      </c>
      <c r="E3" s="63">
        <f t="shared" ref="E3:G3" si="0">D3+1</f>
        <v>2028</v>
      </c>
      <c r="F3" s="63">
        <f t="shared" si="0"/>
        <v>2029</v>
      </c>
      <c r="G3" s="63">
        <f t="shared" si="0"/>
        <v>2030</v>
      </c>
      <c r="H3" s="65"/>
      <c r="I3" s="65"/>
      <c r="J3" s="65"/>
      <c r="K3" s="65"/>
      <c r="L3" s="65"/>
      <c r="M3" s="65"/>
    </row>
    <row r="5" spans="2:13" x14ac:dyDescent="0.3">
      <c r="B5" t="s">
        <v>156</v>
      </c>
      <c r="C5" s="62">
        <f t="array" ref="C5:G5">CHOOSE(D7,C8:G8,C9:G9,C10:G10)</f>
        <v>0.13</v>
      </c>
      <c r="D5" s="62">
        <v>0.10999999999999999</v>
      </c>
      <c r="E5" s="62">
        <v>8.9999999999999983E-2</v>
      </c>
      <c r="F5" s="62">
        <v>0.12999999999999998</v>
      </c>
      <c r="G5" s="62">
        <v>0.15999999999999998</v>
      </c>
    </row>
    <row r="6" spans="2:13" x14ac:dyDescent="0.3">
      <c r="B6" t="s">
        <v>277</v>
      </c>
      <c r="C6" s="17">
        <f>HistoricalFS!L6*(1+'Growth Assumptions'!C5)</f>
        <v>172791.68999999997</v>
      </c>
      <c r="D6" s="17">
        <f>C6*(1+D5)</f>
        <v>191798.77589999995</v>
      </c>
      <c r="E6" s="17">
        <f t="shared" ref="E6:G6" si="1">D6*(1+E5)</f>
        <v>209060.66573099996</v>
      </c>
      <c r="F6" s="17">
        <f t="shared" si="1"/>
        <v>236238.55227602992</v>
      </c>
      <c r="G6" s="17">
        <f t="shared" si="1"/>
        <v>274036.72064019466</v>
      </c>
    </row>
    <row r="7" spans="2:13" x14ac:dyDescent="0.3">
      <c r="B7" t="s">
        <v>163</v>
      </c>
      <c r="C7" s="67" t="s">
        <v>165</v>
      </c>
      <c r="D7" s="66">
        <f>MATCH(C7,B8:B10,)</f>
        <v>2</v>
      </c>
    </row>
    <row r="8" spans="2:13" x14ac:dyDescent="0.3">
      <c r="B8" s="10" t="s">
        <v>164</v>
      </c>
      <c r="C8" s="62">
        <f>C18</f>
        <v>0.12</v>
      </c>
      <c r="D8" s="68">
        <f>C8-$C$19</f>
        <v>9.9999999999999992E-2</v>
      </c>
      <c r="E8" s="68">
        <f t="shared" ref="E8" si="2">D8-$C$19</f>
        <v>7.9999999999999988E-2</v>
      </c>
      <c r="F8" s="62">
        <f>E8+3%</f>
        <v>0.10999999999999999</v>
      </c>
      <c r="G8" s="62">
        <f t="shared" ref="G8:G9" si="3">F8+3%</f>
        <v>0.13999999999999999</v>
      </c>
    </row>
    <row r="9" spans="2:13" x14ac:dyDescent="0.3">
      <c r="B9" s="10" t="s">
        <v>165</v>
      </c>
      <c r="C9" s="45">
        <f>C8+1%</f>
        <v>0.13</v>
      </c>
      <c r="D9" s="45">
        <f t="shared" ref="D9:E9" si="4">D8+1%</f>
        <v>0.10999999999999999</v>
      </c>
      <c r="E9" s="45">
        <f t="shared" si="4"/>
        <v>8.9999999999999983E-2</v>
      </c>
      <c r="F9" s="45">
        <f>E9+4%</f>
        <v>0.12999999999999998</v>
      </c>
      <c r="G9" s="45">
        <f t="shared" si="3"/>
        <v>0.15999999999999998</v>
      </c>
    </row>
    <row r="10" spans="2:13" x14ac:dyDescent="0.3">
      <c r="B10" s="10" t="s">
        <v>166</v>
      </c>
      <c r="C10" s="45">
        <f>C8-1%</f>
        <v>0.11</v>
      </c>
      <c r="D10" s="45">
        <f t="shared" ref="D10:E10" si="5">D8-1%</f>
        <v>0.09</v>
      </c>
      <c r="E10" s="45">
        <f t="shared" si="5"/>
        <v>6.9999999999999993E-2</v>
      </c>
      <c r="F10" s="45">
        <f>E10</f>
        <v>6.9999999999999993E-2</v>
      </c>
      <c r="G10" s="45">
        <f>F10+2%</f>
        <v>0.09</v>
      </c>
    </row>
    <row r="12" spans="2:13" x14ac:dyDescent="0.3">
      <c r="B12" s="74" t="s">
        <v>181</v>
      </c>
      <c r="C12" s="69"/>
      <c r="D12" s="69"/>
      <c r="E12" s="69"/>
      <c r="F12" s="69"/>
      <c r="G12" s="69"/>
    </row>
    <row r="14" spans="2:13" x14ac:dyDescent="0.3">
      <c r="B14" s="8" t="s">
        <v>152</v>
      </c>
      <c r="C14" s="71" t="s">
        <v>153</v>
      </c>
      <c r="D14" s="71" t="s">
        <v>157</v>
      </c>
      <c r="E14" s="60"/>
      <c r="F14" s="60"/>
      <c r="G14" s="60"/>
    </row>
    <row r="16" spans="2:13" x14ac:dyDescent="0.3">
      <c r="B16" t="s">
        <v>154</v>
      </c>
      <c r="C16" s="120">
        <v>46093</v>
      </c>
    </row>
    <row r="17" spans="2:4" x14ac:dyDescent="0.3">
      <c r="B17" t="s">
        <v>155</v>
      </c>
      <c r="C17" s="119" t="s">
        <v>256</v>
      </c>
    </row>
    <row r="18" spans="2:4" x14ac:dyDescent="0.3">
      <c r="B18" t="s">
        <v>156</v>
      </c>
      <c r="C18" s="102">
        <v>0.12</v>
      </c>
      <c r="D18" t="s">
        <v>167</v>
      </c>
    </row>
    <row r="19" spans="2:4" x14ac:dyDescent="0.3">
      <c r="B19" t="s">
        <v>168</v>
      </c>
      <c r="C19" s="102">
        <v>0.02</v>
      </c>
      <c r="D19" t="s">
        <v>169</v>
      </c>
    </row>
    <row r="21" spans="2:4" x14ac:dyDescent="0.3">
      <c r="B21" t="s">
        <v>158</v>
      </c>
      <c r="C21" s="102">
        <v>4.4999999999999998E-2</v>
      </c>
      <c r="D21" t="s">
        <v>236</v>
      </c>
    </row>
    <row r="23" spans="2:4" x14ac:dyDescent="0.3">
      <c r="B23" t="s">
        <v>159</v>
      </c>
      <c r="C23" s="102">
        <v>6.6299999999999998E-2</v>
      </c>
      <c r="D23" t="s">
        <v>234</v>
      </c>
    </row>
    <row r="24" spans="2:4" x14ac:dyDescent="0.3">
      <c r="B24" t="s">
        <v>162</v>
      </c>
      <c r="C24" s="45">
        <f>12%-C23</f>
        <v>5.3699999999999998E-2</v>
      </c>
      <c r="D24" t="s">
        <v>235</v>
      </c>
    </row>
    <row r="25" spans="2:4" x14ac:dyDescent="0.3">
      <c r="B25" t="s">
        <v>161</v>
      </c>
      <c r="C25" s="102">
        <v>0.25</v>
      </c>
    </row>
  </sheetData>
  <mergeCells count="1">
    <mergeCell ref="B2:G2"/>
  </mergeCells>
  <dataValidations count="1">
    <dataValidation type="list" allowBlank="1" showInputMessage="1" showErrorMessage="1" sqref="C7">
      <formula1>$B$8:$B$10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showGridLines="0" zoomScaleNormal="100" workbookViewId="0">
      <selection activeCell="G14" sqref="G14"/>
    </sheetView>
  </sheetViews>
  <sheetFormatPr defaultRowHeight="14.4" x14ac:dyDescent="0.3"/>
  <cols>
    <col min="1" max="1" width="1.88671875" customWidth="1"/>
    <col min="2" max="2" width="20.77734375" bestFit="1" customWidth="1"/>
    <col min="3" max="3" width="14" customWidth="1"/>
    <col min="4" max="4" width="13.21875" customWidth="1"/>
    <col min="5" max="5" width="13.33203125" customWidth="1"/>
    <col min="6" max="6" width="14.88671875" customWidth="1"/>
    <col min="7" max="7" width="14.6640625" customWidth="1"/>
  </cols>
  <sheetData>
    <row r="2" spans="2:7" x14ac:dyDescent="0.3">
      <c r="B2" s="146" t="str">
        <f>"Free Cash Flow Projections - "&amp;'Data Sheet'!B1</f>
        <v>Free Cash Flow Projections - MARUTI SUZUKI INDIA LTD</v>
      </c>
      <c r="C2" s="146"/>
      <c r="D2" s="146"/>
      <c r="E2" s="146"/>
      <c r="F2" s="146"/>
      <c r="G2" s="146"/>
    </row>
    <row r="3" spans="2:7" x14ac:dyDescent="0.3">
      <c r="B3" s="8" t="s">
        <v>54</v>
      </c>
      <c r="C3" s="63">
        <v>2026</v>
      </c>
      <c r="D3" s="63">
        <f>C3+1</f>
        <v>2027</v>
      </c>
      <c r="E3" s="63">
        <f t="shared" ref="E3:G3" si="0">D3+1</f>
        <v>2028</v>
      </c>
      <c r="F3" s="63">
        <f t="shared" si="0"/>
        <v>2029</v>
      </c>
      <c r="G3" s="63">
        <f t="shared" si="0"/>
        <v>2030</v>
      </c>
    </row>
    <row r="5" spans="2:7" x14ac:dyDescent="0.3">
      <c r="B5" t="s">
        <v>170</v>
      </c>
      <c r="C5" s="17">
        <f>'Growth Assumptions'!C6</f>
        <v>172791.68999999997</v>
      </c>
      <c r="D5" s="17">
        <f>'Growth Assumptions'!D6</f>
        <v>191798.77589999995</v>
      </c>
      <c r="E5" s="17">
        <f>'Growth Assumptions'!E6</f>
        <v>209060.66573099996</v>
      </c>
      <c r="F5" s="17">
        <f>'Growth Assumptions'!F6</f>
        <v>236238.55227602992</v>
      </c>
      <c r="G5" s="17">
        <f>'Growth Assumptions'!G6</f>
        <v>274036.72064019466</v>
      </c>
    </row>
    <row r="6" spans="2:7" x14ac:dyDescent="0.3">
      <c r="B6" t="s">
        <v>171</v>
      </c>
      <c r="C6" s="45">
        <f>HistoricalFS!$M$19</f>
        <v>0.12791018034296978</v>
      </c>
      <c r="D6" s="45">
        <f>HistoricalFS!$M$19</f>
        <v>0.12791018034296978</v>
      </c>
      <c r="E6" s="45">
        <f>HistoricalFS!$M$19</f>
        <v>0.12791018034296978</v>
      </c>
      <c r="F6" s="45">
        <f>HistoricalFS!$M$19</f>
        <v>0.12791018034296978</v>
      </c>
      <c r="G6" s="45">
        <f>HistoricalFS!$M$19</f>
        <v>0.12791018034296978</v>
      </c>
    </row>
    <row r="7" spans="2:7" x14ac:dyDescent="0.3">
      <c r="B7" t="s">
        <v>172</v>
      </c>
      <c r="C7" s="17">
        <f>C5*C6</f>
        <v>22101.816229666525</v>
      </c>
      <c r="D7" s="17">
        <f t="shared" ref="D7:G7" si="1">D5*D6</f>
        <v>24533.016014929839</v>
      </c>
      <c r="E7" s="17">
        <f t="shared" si="1"/>
        <v>26740.987456273524</v>
      </c>
      <c r="F7" s="17">
        <f t="shared" si="1"/>
        <v>30217.315825589081</v>
      </c>
      <c r="G7" s="17">
        <f t="shared" si="1"/>
        <v>35052.086357683329</v>
      </c>
    </row>
    <row r="8" spans="2:7" x14ac:dyDescent="0.3">
      <c r="B8" t="s">
        <v>173</v>
      </c>
      <c r="C8" s="17">
        <f>C5*AVERAGE(HistoricalFS!C25:M25)</f>
        <v>6487.5975559466606</v>
      </c>
      <c r="D8" s="17">
        <f>D5*AVERAGE(HistoricalFS!D25:N25)</f>
        <v>6981.5629298037875</v>
      </c>
      <c r="E8" s="17">
        <f>E5*AVERAGE(HistoricalFS!E25:O25)</f>
        <v>7567.0604458937423</v>
      </c>
      <c r="F8" s="17">
        <f>F5*AVERAGE(HistoricalFS!F25:P25)</f>
        <v>8598.4877989079578</v>
      </c>
      <c r="G8" s="17">
        <f>G5*AVERAGE(HistoricalFS!G25:Q25)</f>
        <v>10025.132645287633</v>
      </c>
    </row>
    <row r="9" spans="2:7" x14ac:dyDescent="0.3">
      <c r="B9" t="s">
        <v>174</v>
      </c>
      <c r="C9" s="17">
        <f>C7-C8</f>
        <v>15614.218673719864</v>
      </c>
      <c r="D9" s="17">
        <f t="shared" ref="D9:G9" si="2">D7-D8</f>
        <v>17551.45308512605</v>
      </c>
      <c r="E9" s="17">
        <f t="shared" si="2"/>
        <v>19173.927010379783</v>
      </c>
      <c r="F9" s="17">
        <f t="shared" si="2"/>
        <v>21618.828026681123</v>
      </c>
      <c r="G9" s="17">
        <f t="shared" si="2"/>
        <v>25026.953712395698</v>
      </c>
    </row>
    <row r="10" spans="2:7" x14ac:dyDescent="0.3">
      <c r="B10" t="s">
        <v>175</v>
      </c>
      <c r="C10" s="17">
        <f>C9*'Growth Assumptions'!$C$25</f>
        <v>3903.5546684299661</v>
      </c>
      <c r="D10" s="17">
        <f>D9*'Growth Assumptions'!$C$25</f>
        <v>4387.8632712815124</v>
      </c>
      <c r="E10" s="17">
        <f>E9*'Growth Assumptions'!$C$25</f>
        <v>4793.4817525949456</v>
      </c>
      <c r="F10" s="17">
        <f>F9*'Growth Assumptions'!$C$25</f>
        <v>5404.7070066702809</v>
      </c>
      <c r="G10" s="17">
        <f>G9*'Growth Assumptions'!$C$25</f>
        <v>6256.7384280989245</v>
      </c>
    </row>
    <row r="11" spans="2:7" x14ac:dyDescent="0.3">
      <c r="B11" t="s">
        <v>176</v>
      </c>
      <c r="C11" s="17">
        <f>C9-C10</f>
        <v>11710.664005289898</v>
      </c>
      <c r="D11" s="17">
        <f t="shared" ref="D11:G11" si="3">D9-D10</f>
        <v>13163.589813844537</v>
      </c>
      <c r="E11" s="17">
        <f t="shared" si="3"/>
        <v>14380.445257784837</v>
      </c>
      <c r="F11" s="17">
        <f t="shared" si="3"/>
        <v>16214.121020010843</v>
      </c>
      <c r="G11" s="17">
        <f t="shared" si="3"/>
        <v>18770.215284296773</v>
      </c>
    </row>
    <row r="12" spans="2:7" x14ac:dyDescent="0.3">
      <c r="B12" t="s">
        <v>177</v>
      </c>
      <c r="C12" s="17">
        <f>C8</f>
        <v>6487.5975559466606</v>
      </c>
      <c r="D12" s="17">
        <f t="shared" ref="D12:G12" si="4">D8</f>
        <v>6981.5629298037875</v>
      </c>
      <c r="E12" s="17">
        <f t="shared" si="4"/>
        <v>7567.0604458937423</v>
      </c>
      <c r="F12" s="17">
        <f t="shared" si="4"/>
        <v>8598.4877989079578</v>
      </c>
      <c r="G12" s="17">
        <f t="shared" si="4"/>
        <v>10025.132645287633</v>
      </c>
    </row>
    <row r="13" spans="2:7" x14ac:dyDescent="0.3">
      <c r="B13" t="s">
        <v>179</v>
      </c>
      <c r="C13" s="17">
        <f>C11*150%</f>
        <v>17565.996007934846</v>
      </c>
      <c r="D13" s="17">
        <f t="shared" ref="D13:G13" si="5">D11*150%</f>
        <v>19745.384720766808</v>
      </c>
      <c r="E13" s="17">
        <f t="shared" si="5"/>
        <v>21570.667886677256</v>
      </c>
      <c r="F13" s="17">
        <f t="shared" si="5"/>
        <v>24321.181530016263</v>
      </c>
      <c r="G13" s="17">
        <f t="shared" si="5"/>
        <v>28155.322926445158</v>
      </c>
    </row>
    <row r="14" spans="2:7" x14ac:dyDescent="0.3">
      <c r="B14" s="41" t="s">
        <v>178</v>
      </c>
      <c r="C14" s="42">
        <f>C11+C12-C13</f>
        <v>632.26555330171323</v>
      </c>
      <c r="D14" s="42">
        <f t="shared" ref="D14:G14" si="6">D11+D12-D13</f>
        <v>399.76802288151521</v>
      </c>
      <c r="E14" s="42">
        <f t="shared" si="6"/>
        <v>376.83781700132386</v>
      </c>
      <c r="F14" s="42">
        <f t="shared" si="6"/>
        <v>491.42728890253784</v>
      </c>
      <c r="G14" s="42">
        <f t="shared" si="6"/>
        <v>640.02500313924975</v>
      </c>
    </row>
  </sheetData>
  <mergeCells count="1">
    <mergeCell ref="B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1"/>
  <sheetViews>
    <sheetView showGridLines="0" zoomScaleNormal="100" workbookViewId="0">
      <selection activeCell="G15" sqref="G15"/>
    </sheetView>
  </sheetViews>
  <sheetFormatPr defaultRowHeight="14.4" x14ac:dyDescent="0.3"/>
  <cols>
    <col min="1" max="1" width="1.88671875" customWidth="1"/>
    <col min="2" max="2" width="30.109375" customWidth="1"/>
    <col min="3" max="3" width="11.21875" bestFit="1" customWidth="1"/>
    <col min="4" max="4" width="9.77734375" bestFit="1" customWidth="1"/>
    <col min="5" max="5" width="12" customWidth="1"/>
    <col min="6" max="6" width="9.88671875" customWidth="1"/>
    <col min="7" max="7" width="10" customWidth="1"/>
    <col min="8" max="9" width="8.6640625" customWidth="1"/>
    <col min="10" max="10" width="10.5546875" customWidth="1"/>
  </cols>
  <sheetData>
    <row r="2" spans="2:10" ht="18" x14ac:dyDescent="0.35">
      <c r="B2" s="143" t="s">
        <v>182</v>
      </c>
      <c r="C2" s="61"/>
      <c r="D2" s="61"/>
      <c r="E2" s="61"/>
      <c r="F2" s="61"/>
      <c r="G2" s="61"/>
      <c r="H2" s="61"/>
      <c r="I2" s="61"/>
      <c r="J2" s="61"/>
    </row>
    <row r="3" spans="2:10" x14ac:dyDescent="0.3">
      <c r="B3" s="10" t="s">
        <v>183</v>
      </c>
    </row>
    <row r="4" spans="2:10" x14ac:dyDescent="0.3">
      <c r="B4" s="19" t="s">
        <v>184</v>
      </c>
    </row>
    <row r="5" spans="2:10" x14ac:dyDescent="0.3">
      <c r="B5" s="58"/>
      <c r="C5" s="58"/>
      <c r="D5" s="58"/>
      <c r="E5" s="58"/>
      <c r="F5" s="58"/>
      <c r="G5" s="99" t="s">
        <v>185</v>
      </c>
      <c r="H5" s="99" t="s">
        <v>185</v>
      </c>
      <c r="I5" s="99" t="s">
        <v>186</v>
      </c>
      <c r="J5" s="99" t="s">
        <v>187</v>
      </c>
    </row>
    <row r="6" spans="2:10" ht="16.2" x14ac:dyDescent="0.3">
      <c r="B6" s="75" t="s">
        <v>188</v>
      </c>
      <c r="C6" s="131" t="s">
        <v>189</v>
      </c>
      <c r="D6" s="97" t="s">
        <v>190</v>
      </c>
      <c r="E6" s="97" t="s">
        <v>191</v>
      </c>
      <c r="F6" s="98" t="s">
        <v>192</v>
      </c>
      <c r="G6" s="98" t="s">
        <v>193</v>
      </c>
      <c r="H6" s="98" t="s">
        <v>194</v>
      </c>
      <c r="I6" s="98" t="s">
        <v>195</v>
      </c>
      <c r="J6" s="98" t="s">
        <v>196</v>
      </c>
    </row>
    <row r="7" spans="2:10" x14ac:dyDescent="0.3">
      <c r="B7" s="51"/>
      <c r="C7" s="51"/>
      <c r="D7" s="100"/>
      <c r="E7" s="100"/>
      <c r="F7" s="101"/>
      <c r="G7" s="101"/>
      <c r="H7" s="101"/>
      <c r="I7" s="101"/>
      <c r="J7" s="101"/>
    </row>
    <row r="8" spans="2:10" x14ac:dyDescent="0.3">
      <c r="B8" t="s">
        <v>225</v>
      </c>
      <c r="C8" s="76" t="s">
        <v>197</v>
      </c>
      <c r="D8" s="121">
        <f>IFERROR('Beta - Comps Data'!G3,0)</f>
        <v>99.9</v>
      </c>
      <c r="E8" s="103">
        <f>IFERROR('Beta - Comps Data'!E3,0)</f>
        <v>424425.58</v>
      </c>
      <c r="F8" s="96">
        <f>'Growth Assumptions'!$C$25</f>
        <v>0.25</v>
      </c>
      <c r="G8" s="78">
        <f t="shared" ref="G8" si="0">D8/E8</f>
        <v>2.3537695348145604E-4</v>
      </c>
      <c r="H8" s="78">
        <f>D8/(D8+E8)</f>
        <v>2.3532156420858413E-4</v>
      </c>
      <c r="I8" s="79">
        <v>0.41</v>
      </c>
      <c r="J8" s="52">
        <f>I8/(1+(1-F8)*G8)</f>
        <v>0.40992763436170704</v>
      </c>
    </row>
    <row r="9" spans="2:10" x14ac:dyDescent="0.3">
      <c r="B9" t="s">
        <v>226</v>
      </c>
      <c r="C9" s="76" t="s">
        <v>197</v>
      </c>
      <c r="D9" s="121">
        <f>IFERROR('Beta - Comps Data'!G4,0)</f>
        <v>126709.33</v>
      </c>
      <c r="E9" s="103">
        <f>IFERROR('Beta - Comps Data'!E4,0)</f>
        <v>393968.16</v>
      </c>
      <c r="F9" s="96">
        <f>'Growth Assumptions'!$C$25</f>
        <v>0.25</v>
      </c>
      <c r="G9" s="78">
        <f>D9/E9</f>
        <v>0.32162327534286023</v>
      </c>
      <c r="H9" s="78">
        <f>D9/(D9+E9)</f>
        <v>0.24335473000762911</v>
      </c>
      <c r="I9" s="79">
        <v>0.9</v>
      </c>
      <c r="J9" s="52">
        <f t="shared" ref="J9:J12" si="1">I9/(1+(1-F9)*G9)</f>
        <v>0.72509453946341518</v>
      </c>
    </row>
    <row r="10" spans="2:10" x14ac:dyDescent="0.3">
      <c r="B10" t="s">
        <v>227</v>
      </c>
      <c r="C10" s="76" t="s">
        <v>233</v>
      </c>
      <c r="D10" s="121">
        <f>IFERROR('Beta - Comps Data'!G5,0)</f>
        <v>856.56</v>
      </c>
      <c r="E10" s="103">
        <f>IFERROR('Beta - Comps Data'!E5,0)</f>
        <v>164148.63</v>
      </c>
      <c r="F10" s="96">
        <f>'Growth Assumptions'!$C$25</f>
        <v>0.25</v>
      </c>
      <c r="G10" s="78">
        <f t="shared" ref="G10:G12" si="2">D10/E10</f>
        <v>5.2181976785307307E-3</v>
      </c>
      <c r="H10" s="78">
        <f t="shared" ref="H10:H12" si="3">D10/(D10+E10)</f>
        <v>5.1911094432847832E-3</v>
      </c>
      <c r="I10" s="79">
        <v>0.85</v>
      </c>
      <c r="J10" s="52">
        <f t="shared" si="1"/>
        <v>0.84668636737249992</v>
      </c>
    </row>
    <row r="11" spans="2:10" x14ac:dyDescent="0.3">
      <c r="B11" t="s">
        <v>228</v>
      </c>
      <c r="C11" s="76" t="s">
        <v>197</v>
      </c>
      <c r="D11" s="121">
        <f>IFERROR('Beta - Comps Data'!G6,0)</f>
        <v>67258</v>
      </c>
      <c r="E11" s="103">
        <f>IFERROR('Beta - Comps Data'!E6,0)</f>
        <v>123524.31</v>
      </c>
      <c r="F11" s="96">
        <f>'Growth Assumptions'!$C$25</f>
        <v>0.25</v>
      </c>
      <c r="G11" s="78">
        <f t="shared" si="2"/>
        <v>0.54449201132959169</v>
      </c>
      <c r="H11" s="78">
        <f t="shared" si="3"/>
        <v>0.35253792660336275</v>
      </c>
      <c r="I11" s="79">
        <v>1.5</v>
      </c>
      <c r="J11" s="52">
        <f t="shared" si="1"/>
        <v>1.0650617778082048</v>
      </c>
    </row>
    <row r="12" spans="2:10" x14ac:dyDescent="0.3">
      <c r="B12" t="s">
        <v>232</v>
      </c>
      <c r="C12" s="76" t="s">
        <v>197</v>
      </c>
      <c r="D12" s="121">
        <f>IFERROR('Beta - Comps Data'!G7,0)</f>
        <v>0</v>
      </c>
      <c r="E12" s="103">
        <f>IFERROR('Beta - Comps Data'!E7,0)</f>
        <v>28555.84</v>
      </c>
      <c r="F12" s="96">
        <f>'Growth Assumptions'!$C$25</f>
        <v>0.25</v>
      </c>
      <c r="G12" s="78">
        <f t="shared" si="2"/>
        <v>0</v>
      </c>
      <c r="H12" s="78">
        <f t="shared" si="3"/>
        <v>0</v>
      </c>
      <c r="I12" s="79">
        <v>1.2</v>
      </c>
      <c r="J12" s="52">
        <f t="shared" si="1"/>
        <v>1.2</v>
      </c>
    </row>
    <row r="14" spans="2:10" x14ac:dyDescent="0.3">
      <c r="E14" s="80" t="s">
        <v>198</v>
      </c>
      <c r="F14" s="59">
        <f>AVERAGE(F8:F12)</f>
        <v>0.25</v>
      </c>
      <c r="G14" s="59">
        <f>AVERAGE(G8:G12)</f>
        <v>0.17431377226089281</v>
      </c>
      <c r="H14" s="59">
        <f>AVERAGE(H8:H12)</f>
        <v>0.12026381752369705</v>
      </c>
      <c r="I14" s="81">
        <f>AVERAGE(I8:I12)</f>
        <v>0.97200000000000009</v>
      </c>
      <c r="J14" s="82">
        <f>AVERAGE(J8:J12)</f>
        <v>0.8493540638011654</v>
      </c>
    </row>
    <row r="15" spans="2:10" x14ac:dyDescent="0.3">
      <c r="E15" s="83" t="s">
        <v>151</v>
      </c>
      <c r="F15" s="84">
        <f>MEDIAN(F8:F12)</f>
        <v>0.25</v>
      </c>
      <c r="G15" s="84">
        <f>MEDIAN(G8:G12)</f>
        <v>5.2181976785307307E-3</v>
      </c>
      <c r="H15" s="84">
        <f>MEDIAN(H8:H12)</f>
        <v>5.1911094432847832E-3</v>
      </c>
      <c r="I15" s="85">
        <f>MEDIAN(I8:I12)</f>
        <v>0.9</v>
      </c>
      <c r="J15" s="86">
        <f>MEDIAN(J8:J12)</f>
        <v>0.84668636737249992</v>
      </c>
    </row>
    <row r="18" spans="2:10" x14ac:dyDescent="0.3">
      <c r="B18" s="83" t="s">
        <v>199</v>
      </c>
      <c r="C18" s="83"/>
      <c r="D18" s="75"/>
      <c r="E18" s="75"/>
      <c r="G18" s="83" t="s">
        <v>200</v>
      </c>
      <c r="H18" s="75"/>
      <c r="I18" s="75"/>
      <c r="J18" s="75"/>
    </row>
    <row r="20" spans="2:10" x14ac:dyDescent="0.3">
      <c r="B20" t="s">
        <v>201</v>
      </c>
      <c r="E20" s="77">
        <v>7.0000000000000007E-2</v>
      </c>
      <c r="G20" t="s">
        <v>202</v>
      </c>
      <c r="J20" s="96">
        <f>'Growth Assumptions'!C23</f>
        <v>6.6299999999999998E-2</v>
      </c>
    </row>
    <row r="21" spans="2:10" x14ac:dyDescent="0.3">
      <c r="B21" t="s">
        <v>161</v>
      </c>
      <c r="E21" s="87">
        <f>F12</f>
        <v>0.25</v>
      </c>
      <c r="G21" t="s">
        <v>160</v>
      </c>
      <c r="J21" s="96">
        <f>'Growth Assumptions'!C24</f>
        <v>5.3699999999999998E-2</v>
      </c>
    </row>
    <row r="22" spans="2:10" ht="16.2" x14ac:dyDescent="0.3">
      <c r="B22" s="48" t="s">
        <v>203</v>
      </c>
      <c r="C22" s="48"/>
      <c r="D22" s="48"/>
      <c r="E22" s="88">
        <f>E20*(1-E21)</f>
        <v>5.2500000000000005E-2</v>
      </c>
      <c r="G22" t="s">
        <v>204</v>
      </c>
      <c r="J22" s="89">
        <f>J31</f>
        <v>0.85</v>
      </c>
    </row>
    <row r="23" spans="2:10" x14ac:dyDescent="0.3">
      <c r="G23" s="48" t="s">
        <v>200</v>
      </c>
      <c r="H23" s="48"/>
      <c r="I23" s="48"/>
      <c r="J23" s="88">
        <f>J20+J21*J22</f>
        <v>0.11194499999999999</v>
      </c>
    </row>
    <row r="26" spans="2:10" x14ac:dyDescent="0.3">
      <c r="B26" s="83" t="s">
        <v>205</v>
      </c>
      <c r="C26" s="83"/>
      <c r="D26" s="83"/>
      <c r="E26" s="83"/>
      <c r="G26" s="83" t="s">
        <v>206</v>
      </c>
      <c r="H26" s="83"/>
      <c r="I26" s="83"/>
      <c r="J26" s="83"/>
    </row>
    <row r="28" spans="2:10" x14ac:dyDescent="0.3">
      <c r="D28" s="90" t="s">
        <v>207</v>
      </c>
      <c r="E28" s="90" t="s">
        <v>208</v>
      </c>
      <c r="G28" t="s">
        <v>209</v>
      </c>
      <c r="J28" s="52">
        <f>J15</f>
        <v>0.84668636737249992</v>
      </c>
    </row>
    <row r="29" spans="2:10" x14ac:dyDescent="0.3">
      <c r="B29" t="s">
        <v>190</v>
      </c>
      <c r="C29" s="103">
        <f>D8</f>
        <v>99.9</v>
      </c>
      <c r="D29" s="45">
        <f>C29/C31</f>
        <v>2.3532156420858413E-4</v>
      </c>
      <c r="E29" s="96">
        <f>H15</f>
        <v>5.1911094432847832E-3</v>
      </c>
      <c r="G29" t="s">
        <v>210</v>
      </c>
      <c r="J29" s="45">
        <f>E33</f>
        <v>5.2181976785307315E-3</v>
      </c>
    </row>
    <row r="30" spans="2:10" x14ac:dyDescent="0.3">
      <c r="B30" t="s">
        <v>211</v>
      </c>
      <c r="C30" s="103">
        <f>E8</f>
        <v>424425.58</v>
      </c>
      <c r="D30" s="45">
        <f>C30/C31</f>
        <v>0.99976467843579131</v>
      </c>
      <c r="E30" s="45">
        <f>E31-E29</f>
        <v>0.99480889055671506</v>
      </c>
      <c r="G30" t="s">
        <v>161</v>
      </c>
      <c r="J30" s="91">
        <f>E21</f>
        <v>0.25</v>
      </c>
    </row>
    <row r="31" spans="2:10" x14ac:dyDescent="0.3">
      <c r="B31" s="48" t="s">
        <v>212</v>
      </c>
      <c r="C31" s="92">
        <f>SUM(C30,C29)</f>
        <v>424525.48000000004</v>
      </c>
      <c r="D31" s="49">
        <f>SUM(D29:D30)</f>
        <v>0.99999999999999989</v>
      </c>
      <c r="E31" s="49">
        <f>D31</f>
        <v>0.99999999999999989</v>
      </c>
      <c r="G31" s="48" t="s">
        <v>206</v>
      </c>
      <c r="H31" s="48"/>
      <c r="I31" s="48"/>
      <c r="J31" s="93">
        <f>J28*(1+(1-J30)*J29)</f>
        <v>0.85</v>
      </c>
    </row>
    <row r="32" spans="2:10" x14ac:dyDescent="0.3">
      <c r="J32" s="12"/>
    </row>
    <row r="33" spans="2:10" x14ac:dyDescent="0.3">
      <c r="B33" t="s">
        <v>213</v>
      </c>
      <c r="D33" s="78">
        <f>D29/D30</f>
        <v>2.3537695348145607E-4</v>
      </c>
      <c r="E33" s="78">
        <f>E29/E30</f>
        <v>5.2181976785307315E-3</v>
      </c>
      <c r="G33" s="83" t="s">
        <v>182</v>
      </c>
      <c r="H33" s="83"/>
      <c r="I33" s="83"/>
      <c r="J33" s="83"/>
    </row>
    <row r="34" spans="2:10" x14ac:dyDescent="0.3">
      <c r="J34" s="12"/>
    </row>
    <row r="35" spans="2:10" x14ac:dyDescent="0.3">
      <c r="B35" s="10" t="s">
        <v>214</v>
      </c>
      <c r="G35" s="12" t="s">
        <v>200</v>
      </c>
      <c r="H35" s="12"/>
      <c r="I35" s="12"/>
      <c r="J35" s="91">
        <f>J23</f>
        <v>0.11194499999999999</v>
      </c>
    </row>
    <row r="36" spans="2:10" x14ac:dyDescent="0.3">
      <c r="B36" s="94" t="s">
        <v>215</v>
      </c>
      <c r="G36" s="12" t="s">
        <v>216</v>
      </c>
      <c r="H36" s="12"/>
      <c r="I36" s="12"/>
      <c r="J36" s="91">
        <f>E30</f>
        <v>0.99480889055671506</v>
      </c>
    </row>
    <row r="37" spans="2:10" x14ac:dyDescent="0.3">
      <c r="B37" s="94" t="s">
        <v>217</v>
      </c>
      <c r="G37" s="12"/>
      <c r="H37" s="12"/>
      <c r="I37" s="12"/>
      <c r="J37" s="12"/>
    </row>
    <row r="38" spans="2:10" x14ac:dyDescent="0.3">
      <c r="B38" s="94" t="s">
        <v>218</v>
      </c>
      <c r="G38" s="12" t="s">
        <v>199</v>
      </c>
      <c r="H38" s="12"/>
      <c r="I38" s="12"/>
      <c r="J38" s="91">
        <f>E22</f>
        <v>5.2500000000000005E-2</v>
      </c>
    </row>
    <row r="39" spans="2:10" x14ac:dyDescent="0.3">
      <c r="B39" s="94" t="s">
        <v>219</v>
      </c>
      <c r="G39" s="12" t="s">
        <v>220</v>
      </c>
      <c r="J39" s="45">
        <f>E29</f>
        <v>5.1911094432847832E-3</v>
      </c>
    </row>
    <row r="41" spans="2:10" x14ac:dyDescent="0.3">
      <c r="G41" s="95" t="s">
        <v>221</v>
      </c>
      <c r="H41" s="95"/>
      <c r="I41" s="95"/>
      <c r="J41" s="78">
        <f>(J35*J36)+(J38*J39)</f>
        <v>0.11163641449914391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0"/>
  <sheetViews>
    <sheetView showGridLines="0" workbookViewId="0">
      <selection activeCell="L11" sqref="L11"/>
    </sheetView>
  </sheetViews>
  <sheetFormatPr defaultRowHeight="14.4" x14ac:dyDescent="0.3"/>
  <cols>
    <col min="1" max="1" width="1.88671875" customWidth="1"/>
    <col min="2" max="2" width="22" bestFit="1" customWidth="1"/>
    <col min="3" max="3" width="12" bestFit="1" customWidth="1"/>
    <col min="4" max="12" width="8" bestFit="1" customWidth="1"/>
  </cols>
  <sheetData>
    <row r="2" spans="2:12" x14ac:dyDescent="0.3">
      <c r="B2" s="147" t="str">
        <f>"Common Size Income Statement"&amp;" "&amp;"- "&amp;'Data Sheet'!B1</f>
        <v>Common Size Income Statement - MARUTI SUZUKI INDIA LTD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</row>
    <row r="4" spans="2:12" x14ac:dyDescent="0.3">
      <c r="B4" s="124" t="s">
        <v>257</v>
      </c>
      <c r="C4" s="125">
        <f>IFERROR('Data Sheet'!B16,0)</f>
        <v>42460</v>
      </c>
      <c r="D4" s="125">
        <f>IFERROR('Data Sheet'!C16,0)</f>
        <v>42825</v>
      </c>
      <c r="E4" s="125">
        <f>IFERROR('Data Sheet'!D16,0)</f>
        <v>43190</v>
      </c>
      <c r="F4" s="125">
        <f>IFERROR('Data Sheet'!E16,0)</f>
        <v>43555</v>
      </c>
      <c r="G4" s="125">
        <f>IFERROR('Data Sheet'!F16,0)</f>
        <v>43921</v>
      </c>
      <c r="H4" s="125">
        <f>IFERROR('Data Sheet'!G16,0)</f>
        <v>44286</v>
      </c>
      <c r="I4" s="125">
        <f>IFERROR('Data Sheet'!H16,0)</f>
        <v>44651</v>
      </c>
      <c r="J4" s="125">
        <f>IFERROR('Data Sheet'!I16,0)</f>
        <v>45016</v>
      </c>
      <c r="K4" s="125">
        <f>IFERROR('Data Sheet'!J16,0)</f>
        <v>45382</v>
      </c>
      <c r="L4" s="125">
        <f>IFERROR('Data Sheet'!K16,0)</f>
        <v>45747</v>
      </c>
    </row>
    <row r="6" spans="2:12" x14ac:dyDescent="0.3">
      <c r="B6" s="126" t="str">
        <f>IFERROR('Data Sheet'!A17,0)</f>
        <v>Sales</v>
      </c>
      <c r="C6" s="127">
        <f>IFERROR('Data Sheet'!B17/'Data Sheet'!B17,0)</f>
        <v>1</v>
      </c>
      <c r="D6" s="127">
        <f>IFERROR('Data Sheet'!C17/'Data Sheet'!C17,0)</f>
        <v>1</v>
      </c>
      <c r="E6" s="127">
        <f>IFERROR('Data Sheet'!D17/'Data Sheet'!D17,0)</f>
        <v>1</v>
      </c>
      <c r="F6" s="127">
        <f>IFERROR('Data Sheet'!E17/'Data Sheet'!E17,0)</f>
        <v>1</v>
      </c>
      <c r="G6" s="127">
        <f>IFERROR('Data Sheet'!F17/'Data Sheet'!F17,0)</f>
        <v>1</v>
      </c>
      <c r="H6" s="127">
        <f>IFERROR('Data Sheet'!G17/'Data Sheet'!G17,0)</f>
        <v>1</v>
      </c>
      <c r="I6" s="127">
        <f>IFERROR('Data Sheet'!H17/'Data Sheet'!H17,0)</f>
        <v>1</v>
      </c>
      <c r="J6" s="127">
        <f>IFERROR('Data Sheet'!I17/'Data Sheet'!I17,0)</f>
        <v>1</v>
      </c>
      <c r="K6" s="127">
        <f>IFERROR('Data Sheet'!J17/'Data Sheet'!J17,0)</f>
        <v>1</v>
      </c>
      <c r="L6" s="127">
        <f>IFERROR('Data Sheet'!K17/'Data Sheet'!K17,0)</f>
        <v>1</v>
      </c>
    </row>
    <row r="7" spans="2:12" x14ac:dyDescent="0.3">
      <c r="B7" s="126" t="str">
        <f>IFERROR('Data Sheet'!A18,0)</f>
        <v>Raw Material Cost</v>
      </c>
      <c r="C7" s="18">
        <f>IFERROR('Data Sheet'!B18/'Data Sheet'!B17,0)</f>
        <v>0.67202417128271019</v>
      </c>
      <c r="D7" s="18">
        <f>IFERROR('Data Sheet'!C18/'Data Sheet'!C17,0)</f>
        <v>0.69209811265330101</v>
      </c>
      <c r="E7" s="18">
        <f>IFERROR('Data Sheet'!D18/'Data Sheet'!D17,0)</f>
        <v>0.68845649760554528</v>
      </c>
      <c r="F7" s="18">
        <f>IFERROR('Data Sheet'!E18/'Data Sheet'!E17,0)</f>
        <v>0.68952752749263668</v>
      </c>
      <c r="G7" s="18">
        <f>IFERROR('Data Sheet'!F18/'Data Sheet'!F17,0)</f>
        <v>0.70581549035157287</v>
      </c>
      <c r="H7" s="18">
        <f>IFERROR('Data Sheet'!G18/'Data Sheet'!G17,0)</f>
        <v>0.71833257545614737</v>
      </c>
      <c r="I7" s="18">
        <f>IFERROR('Data Sheet'!H18/'Data Sheet'!H17,0)</f>
        <v>0.7487518368659275</v>
      </c>
      <c r="J7" s="18">
        <f>IFERROR('Data Sheet'!I18/'Data Sheet'!I17,0)</f>
        <v>0.73703956662893066</v>
      </c>
      <c r="K7" s="18">
        <f>IFERROR('Data Sheet'!J18/'Data Sheet'!J17,0)</f>
        <v>0.70577167904287519</v>
      </c>
      <c r="L7" s="18">
        <f>IFERROR('Data Sheet'!K18/'Data Sheet'!K17,0)</f>
        <v>0.71098140772857765</v>
      </c>
    </row>
    <row r="8" spans="2:12" x14ac:dyDescent="0.3">
      <c r="B8" s="126" t="str">
        <f>IFERROR('Data Sheet'!A19,0)</f>
        <v>Change in Inventory</v>
      </c>
      <c r="C8" s="18">
        <f>IFERROR('Data Sheet'!B19/'Data Sheet'!B17,0)</f>
        <v>-8.3349250724964829E-5</v>
      </c>
      <c r="D8" s="18">
        <f>IFERROR('Data Sheet'!C19/'Data Sheet'!C17,0)</f>
        <v>5.5709774546522728E-3</v>
      </c>
      <c r="E8" s="18">
        <f>IFERROR('Data Sheet'!D19/'Data Sheet'!D17,0)</f>
        <v>-5.1121797682979696E-4</v>
      </c>
      <c r="F8" s="18">
        <f>IFERROR('Data Sheet'!E19/'Data Sheet'!E17,0)</f>
        <v>-2.4585068869563196E-3</v>
      </c>
      <c r="G8" s="18">
        <f>IFERROR('Data Sheet'!F19/'Data Sheet'!F17,0)</f>
        <v>3.154903515728258E-3</v>
      </c>
      <c r="H8" s="18">
        <f>IFERROR('Data Sheet'!G19/'Data Sheet'!G17,0)</f>
        <v>-3.8879099641903033E-3</v>
      </c>
      <c r="I8" s="18">
        <f>IFERROR('Data Sheet'!H19/'Data Sheet'!H17,0)</f>
        <v>1.0540044243279164E-3</v>
      </c>
      <c r="J8" s="18">
        <f>IFERROR('Data Sheet'!I19/'Data Sheet'!I17,0)</f>
        <v>3.4353622014896491E-3</v>
      </c>
      <c r="K8" s="18">
        <f>IFERROR('Data Sheet'!J19/'Data Sheet'!J17,0)</f>
        <v>2.6688622864240487E-3</v>
      </c>
      <c r="L8" s="18">
        <f>IFERROR('Data Sheet'!K19/'Data Sheet'!K17,0)</f>
        <v>8.0274404399887523E-3</v>
      </c>
    </row>
    <row r="9" spans="2:12" x14ac:dyDescent="0.3">
      <c r="B9" s="126" t="str">
        <f>IFERROR('Data Sheet'!A20,0)</f>
        <v>Power and Fuel</v>
      </c>
      <c r="C9" s="18">
        <f>IFERROR('Data Sheet'!B20/'Data Sheet'!B17,0)</f>
        <v>1.2052648943374603E-2</v>
      </c>
      <c r="D9" s="18">
        <f>IFERROR('Data Sheet'!C20/'Data Sheet'!C17,0)</f>
        <v>7.6169494014834398E-3</v>
      </c>
      <c r="E9" s="18">
        <f>IFERROR('Data Sheet'!D20/'Data Sheet'!D17,0)</f>
        <v>8.4376025881663062E-3</v>
      </c>
      <c r="F9" s="18">
        <f>IFERROR('Data Sheet'!E20/'Data Sheet'!E17,0)</f>
        <v>1.0030382776509408E-2</v>
      </c>
      <c r="G9" s="18">
        <f>IFERROR('Data Sheet'!F20/'Data Sheet'!F17,0)</f>
        <v>9.2453079566481629E-3</v>
      </c>
      <c r="H9" s="18">
        <f>IFERROR('Data Sheet'!G20/'Data Sheet'!G17,0)</f>
        <v>6.7725800034104475E-3</v>
      </c>
      <c r="I9" s="18">
        <f>IFERROR('Data Sheet'!H20/'Data Sheet'!H17,0)</f>
        <v>7.1425498529375129E-3</v>
      </c>
      <c r="J9" s="18">
        <f>IFERROR('Data Sheet'!I20/'Data Sheet'!I17,0)</f>
        <v>6.7193269105640576E-3</v>
      </c>
      <c r="K9" s="18">
        <f>IFERROR('Data Sheet'!J20/'Data Sheet'!J17,0)</f>
        <v>7.2847392678040464E-3</v>
      </c>
      <c r="L9" s="18">
        <f>IFERROR('Data Sheet'!K20/'Data Sheet'!K17,0)</f>
        <v>6.8836527960343457E-3</v>
      </c>
    </row>
    <row r="10" spans="2:12" x14ac:dyDescent="0.3">
      <c r="B10" s="126" t="str">
        <f>IFERROR('Data Sheet'!A21,0)</f>
        <v>Other Mfr. Exp</v>
      </c>
      <c r="C10" s="18">
        <f>IFERROR('Data Sheet'!B21/'Data Sheet'!B17,0)</f>
        <v>7.4285019708624916E-3</v>
      </c>
      <c r="D10" s="18">
        <f>IFERROR('Data Sheet'!C21/'Data Sheet'!C17,0)</f>
        <v>5.6238525372695894E-3</v>
      </c>
      <c r="E10" s="18">
        <f>IFERROR('Data Sheet'!D21/'Data Sheet'!D17,0)</f>
        <v>5.790044781692383E-3</v>
      </c>
      <c r="F10" s="18">
        <f>IFERROR('Data Sheet'!E21/'Data Sheet'!E17,0)</f>
        <v>5.5269930346177757E-3</v>
      </c>
      <c r="G10" s="18">
        <f>IFERROR('Data Sheet'!F21/'Data Sheet'!F17,0)</f>
        <v>4.9973565952947403E-3</v>
      </c>
      <c r="H10" s="18">
        <f>IFERROR('Data Sheet'!G21/'Data Sheet'!G17,0)</f>
        <v>9.7098277724094809E-3</v>
      </c>
      <c r="I10" s="18">
        <f>IFERROR('Data Sheet'!H21/'Data Sheet'!H17,0)</f>
        <v>9.6513294494043906E-3</v>
      </c>
      <c r="J10" s="18">
        <f>IFERROR('Data Sheet'!I21/'Data Sheet'!I17,0)</f>
        <v>9.5320881881887851E-3</v>
      </c>
      <c r="K10" s="18">
        <f>IFERROR('Data Sheet'!J21/'Data Sheet'!J17,0)</f>
        <v>6.6214008072850205E-3</v>
      </c>
      <c r="L10" s="18">
        <f>IFERROR('Data Sheet'!K21/'Data Sheet'!K17,0)</f>
        <v>1.3042710560907183E-2</v>
      </c>
    </row>
    <row r="11" spans="2:12" x14ac:dyDescent="0.3">
      <c r="B11" s="126" t="str">
        <f>IFERROR('Data Sheet'!A22,0)</f>
        <v>Employee Cost</v>
      </c>
      <c r="C11" s="18">
        <f>IFERROR('Data Sheet'!B22/'Data Sheet'!B17,0)</f>
        <v>3.4734063796905655E-2</v>
      </c>
      <c r="D11" s="18">
        <f>IFERROR('Data Sheet'!C22/'Data Sheet'!C17,0)</f>
        <v>3.4666960417125657E-2</v>
      </c>
      <c r="E11" s="18">
        <f>IFERROR('Data Sheet'!D22/'Data Sheet'!D17,0)</f>
        <v>3.5877979285648058E-2</v>
      </c>
      <c r="F11" s="18">
        <f>IFERROR('Data Sheet'!E22/'Data Sheet'!E17,0)</f>
        <v>3.8167273741264225E-2</v>
      </c>
      <c r="G11" s="18">
        <f>IFERROR('Data Sheet'!F22/'Data Sheet'!F17,0)</f>
        <v>4.5151995770552469E-2</v>
      </c>
      <c r="H11" s="18">
        <f>IFERROR('Data Sheet'!G22/'Data Sheet'!G17,0)</f>
        <v>4.876371284033422E-2</v>
      </c>
      <c r="I11" s="18">
        <f>IFERROR('Data Sheet'!H22/'Data Sheet'!H17,0)</f>
        <v>4.5866740329990559E-2</v>
      </c>
      <c r="J11" s="18">
        <f>IFERROR('Data Sheet'!I22/'Data Sheet'!I17,0)</f>
        <v>3.9419484176835676E-2</v>
      </c>
      <c r="K11" s="18">
        <f>IFERROR('Data Sheet'!J22/'Data Sheet'!J17,0)</f>
        <v>4.4421824046829858E-2</v>
      </c>
      <c r="L11" s="18">
        <f>IFERROR('Data Sheet'!K22/'Data Sheet'!K17,0)</f>
        <v>4.594769574856291E-2</v>
      </c>
    </row>
    <row r="12" spans="2:12" x14ac:dyDescent="0.3">
      <c r="B12" s="126" t="str">
        <f>IFERROR('Data Sheet'!A23,0)</f>
        <v>Selling and admin</v>
      </c>
      <c r="C12" s="18">
        <f>IFERROR('Data Sheet'!B23/'Data Sheet'!B17,0)</f>
        <v>9.3200090295021618E-2</v>
      </c>
      <c r="D12" s="18">
        <f>IFERROR('Data Sheet'!C23/'Data Sheet'!C17,0)</f>
        <v>8.9759858999779688E-2</v>
      </c>
      <c r="E12" s="18">
        <f>IFERROR('Data Sheet'!D23/'Data Sheet'!D17,0)</f>
        <v>8.4642911737213916E-2</v>
      </c>
      <c r="F12" s="18">
        <f>IFERROR('Data Sheet'!E23/'Data Sheet'!E17,0)</f>
        <v>9.7483980782748614E-2</v>
      </c>
      <c r="G12" s="18">
        <f>IFERROR('Data Sheet'!F23/'Data Sheet'!F17,0)</f>
        <v>0.11176711604546655</v>
      </c>
      <c r="H12" s="18">
        <f>IFERROR('Data Sheet'!G23/'Data Sheet'!G17,0)</f>
        <v>0.1126016029102484</v>
      </c>
      <c r="I12" s="18">
        <f>IFERROR('Data Sheet'!H23/'Data Sheet'!H17,0)</f>
        <v>0.10323922390857898</v>
      </c>
      <c r="J12" s="18">
        <f>IFERROR('Data Sheet'!I23/'Data Sheet'!I17,0)</f>
        <v>9.9471554707653995E-2</v>
      </c>
      <c r="K12" s="18">
        <f>IFERROR('Data Sheet'!J23/'Data Sheet'!J17,0)</f>
        <v>8.5173786217504516E-2</v>
      </c>
      <c r="L12" s="18">
        <f>IFERROR('Data Sheet'!K23/'Data Sheet'!K17,0)</f>
        <v>7.5358537207431672E-2</v>
      </c>
    </row>
    <row r="13" spans="2:12" x14ac:dyDescent="0.3">
      <c r="B13" s="126" t="str">
        <f>IFERROR('Data Sheet'!A24,0)</f>
        <v>Other Expenses</v>
      </c>
      <c r="C13" s="18">
        <f>IFERROR('Data Sheet'!B24/'Data Sheet'!B17,0)</f>
        <v>2.3778846654743096E-2</v>
      </c>
      <c r="D13" s="18">
        <f>IFERROR('Data Sheet'!C24/'Data Sheet'!C17,0)</f>
        <v>2.2742160534625838E-2</v>
      </c>
      <c r="E13" s="18">
        <f>IFERROR('Data Sheet'!D24/'Data Sheet'!D17,0)</f>
        <v>2.4448247950742647E-2</v>
      </c>
      <c r="F13" s="18">
        <f>IFERROR('Data Sheet'!E24/'Data Sheet'!E17,0)</f>
        <v>2.834602671128229E-2</v>
      </c>
      <c r="G13" s="18">
        <f>IFERROR('Data Sheet'!F24/'Data Sheet'!F17,0)</f>
        <v>2.8966428760243194E-2</v>
      </c>
      <c r="H13" s="18">
        <f>IFERROR('Data Sheet'!G24/'Data Sheet'!G17,0)</f>
        <v>2.3046097879838572E-2</v>
      </c>
      <c r="I13" s="18">
        <f>IFERROR('Data Sheet'!H24/'Data Sheet'!H17,0)</f>
        <v>2.1282738101976909E-2</v>
      </c>
      <c r="J13" s="18">
        <f>IFERROR('Data Sheet'!I24/'Data Sheet'!I17,0)</f>
        <v>1.7444733536160609E-2</v>
      </c>
      <c r="K13" s="18">
        <f>IFERROR('Data Sheet'!J24/'Data Sheet'!J17,0)</f>
        <v>2.2093188832228237E-2</v>
      </c>
      <c r="L13" s="18">
        <f>IFERROR('Data Sheet'!K24/'Data Sheet'!K17,0)</f>
        <v>2.3557840078999172E-2</v>
      </c>
    </row>
    <row r="14" spans="2:12" x14ac:dyDescent="0.3">
      <c r="B14" s="126" t="str">
        <f>IFERROR('Data Sheet'!A25,0)</f>
        <v>Other Income</v>
      </c>
      <c r="C14" s="18">
        <f>IFERROR('Data Sheet'!B25/'Data Sheet'!B17,0)</f>
        <v>2.5423257913837712E-2</v>
      </c>
      <c r="D14" s="18">
        <f>IFERROR('Data Sheet'!C25/'Data Sheet'!C17,0)</f>
        <v>3.5238305059851656E-2</v>
      </c>
      <c r="E14" s="18">
        <f>IFERROR('Data Sheet'!D25/'Data Sheet'!D17,0)</f>
        <v>2.6996819923467662E-2</v>
      </c>
      <c r="F14" s="18">
        <f>IFERROR('Data Sheet'!E25/'Data Sheet'!E17,0)</f>
        <v>3.0954414216583299E-2</v>
      </c>
      <c r="G14" s="18">
        <f>IFERROR('Data Sheet'!F25/'Data Sheet'!F17,0)</f>
        <v>4.5075337034099924E-2</v>
      </c>
      <c r="H14" s="18">
        <f>IFERROR('Data Sheet'!G25/'Data Sheet'!G17,0)</f>
        <v>4.328852384471097E-2</v>
      </c>
      <c r="I14" s="18">
        <f>IFERROR('Data Sheet'!H25/'Data Sheet'!H17,0)</f>
        <v>2.1066503037479988E-2</v>
      </c>
      <c r="J14" s="18">
        <f>IFERROR('Data Sheet'!I25/'Data Sheet'!I17,0)</f>
        <v>1.9618733483426652E-2</v>
      </c>
      <c r="K14" s="18">
        <f>IFERROR('Data Sheet'!J25/'Data Sheet'!J17,0)</f>
        <v>2.994257646015528E-2</v>
      </c>
      <c r="L14" s="18">
        <f>IFERROR('Data Sheet'!K25/'Data Sheet'!K17,0)</f>
        <v>3.3998417400744219E-2</v>
      </c>
    </row>
    <row r="15" spans="2:12" x14ac:dyDescent="0.3">
      <c r="B15" s="126" t="str">
        <f>IFERROR('Data Sheet'!A26,0)</f>
        <v>Depreciation</v>
      </c>
      <c r="C15" s="18">
        <f>IFERROR('Data Sheet'!B26/'Data Sheet'!B17,0)</f>
        <v>4.8998940769938708E-2</v>
      </c>
      <c r="D15" s="18">
        <f>IFERROR('Data Sheet'!C26/'Data Sheet'!C17,0)</f>
        <v>3.8244841007564076E-2</v>
      </c>
      <c r="E15" s="18">
        <f>IFERROR('Data Sheet'!D26/'Data Sheet'!D17,0)</f>
        <v>3.4579886579776321E-2</v>
      </c>
      <c r="F15" s="18">
        <f>IFERROR('Data Sheet'!E26/'Data Sheet'!E17,0)</f>
        <v>3.5097625728344288E-2</v>
      </c>
      <c r="G15" s="18">
        <f>IFERROR('Data Sheet'!F26/'Data Sheet'!F17,0)</f>
        <v>4.663494581020354E-2</v>
      </c>
      <c r="H15" s="18">
        <f>IFERROR('Data Sheet'!G26/'Data Sheet'!G17,0)</f>
        <v>4.3115159438413E-2</v>
      </c>
      <c r="I15" s="18">
        <f>IFERROR('Data Sheet'!H26/'Data Sheet'!H17,0)</f>
        <v>3.1574847899576361E-2</v>
      </c>
      <c r="J15" s="18">
        <f>IFERROR('Data Sheet'!I26/'Data Sheet'!I17,0)</f>
        <v>2.4033926647064375E-2</v>
      </c>
      <c r="K15" s="18">
        <f>IFERROR('Data Sheet'!J26/'Data Sheet'!J17,0)</f>
        <v>3.7049673547246476E-2</v>
      </c>
      <c r="L15" s="18">
        <f>IFERROR('Data Sheet'!K26/'Data Sheet'!K17,0)</f>
        <v>3.6675756802887913E-2</v>
      </c>
    </row>
    <row r="16" spans="2:12" x14ac:dyDescent="0.3">
      <c r="B16" s="126" t="str">
        <f>IFERROR('Data Sheet'!A27,0)</f>
        <v>Interest</v>
      </c>
      <c r="C16" s="18">
        <f>IFERROR('Data Sheet'!B27/'Data Sheet'!B17,0)</f>
        <v>1.418673705047839E-3</v>
      </c>
      <c r="D16" s="18">
        <f>IFERROR('Data Sheet'!C27/'Data Sheet'!C17,0)</f>
        <v>1.313064551663362E-3</v>
      </c>
      <c r="E16" s="18">
        <f>IFERROR('Data Sheet'!D27/'Data Sheet'!D17,0)</f>
        <v>4.3328229506799957E-3</v>
      </c>
      <c r="F16" s="18">
        <f>IFERROR('Data Sheet'!E27/'Data Sheet'!E17,0)</f>
        <v>8.8185573119085381E-4</v>
      </c>
      <c r="G16" s="18">
        <f>IFERROR('Data Sheet'!F27/'Data Sheet'!F17,0)</f>
        <v>1.7737245572297118E-3</v>
      </c>
      <c r="H16" s="18">
        <f>IFERROR('Data Sheet'!G27/'Data Sheet'!G17,0)</f>
        <v>1.4465980787813333E-3</v>
      </c>
      <c r="I16" s="18">
        <f>IFERROR('Data Sheet'!H27/'Data Sheet'!H17,0)</f>
        <v>1.4332648777649218E-3</v>
      </c>
      <c r="J16" s="18">
        <f>IFERROR('Data Sheet'!I27/'Data Sheet'!I17,0)</f>
        <v>1.5905242180702262E-3</v>
      </c>
      <c r="K16" s="18">
        <f>IFERROR('Data Sheet'!J27/'Data Sheet'!J17,0)</f>
        <v>1.3647431026193762E-3</v>
      </c>
      <c r="L16" s="18">
        <f>IFERROR('Data Sheet'!K27/'Data Sheet'!K17,0)</f>
        <v>1.2700032044365096E-3</v>
      </c>
    </row>
    <row r="17" spans="2:12" x14ac:dyDescent="0.3">
      <c r="B17" s="126" t="str">
        <f>IFERROR('Data Sheet'!A28,0)</f>
        <v>Profit before tax</v>
      </c>
      <c r="C17" s="18">
        <f>IFERROR('Data Sheet'!B28/'Data Sheet'!B17,0)</f>
        <v>0.1317039712445085</v>
      </c>
      <c r="D17" s="18">
        <f>IFERROR('Data Sheet'!C28/'Data Sheet'!C17,0)</f>
        <v>0.14874348241169127</v>
      </c>
      <c r="E17" s="18">
        <f>IFERROR('Data Sheet'!D28/'Data Sheet'!D17,0)</f>
        <v>0.13991960846717305</v>
      </c>
      <c r="F17" s="18">
        <f>IFERROR('Data Sheet'!E28/'Data Sheet'!E17,0)</f>
        <v>0.12343424133103283</v>
      </c>
      <c r="G17" s="18">
        <f>IFERROR('Data Sheet'!F28/'Data Sheet'!F17,0)</f>
        <v>9.3877874702616979E-2</v>
      </c>
      <c r="H17" s="18">
        <f>IFERROR('Data Sheet'!G28/'Data Sheet'!G17,0)</f>
        <v>7.5612459500937867E-2</v>
      </c>
      <c r="I17" s="18">
        <f>IFERROR('Data Sheet'!H28/'Data Sheet'!H17,0)</f>
        <v>5.3177976175650794E-2</v>
      </c>
      <c r="J17" s="18">
        <f>IFERROR('Data Sheet'!I28/'Data Sheet'!I17,0)</f>
        <v>8.7802890671447878E-2</v>
      </c>
      <c r="K17" s="18">
        <f>IFERROR('Data Sheet'!J28/'Data Sheet'!J17,0)</f>
        <v>0.12283040388218656</v>
      </c>
      <c r="L17" s="18">
        <f>IFERROR('Data Sheet'!K28/'Data Sheet'!K17,0)</f>
        <v>0.12830825371289556</v>
      </c>
    </row>
    <row r="18" spans="2:12" x14ac:dyDescent="0.3">
      <c r="B18" s="126" t="str">
        <f>IFERROR('Data Sheet'!A29,0)</f>
        <v>Tax</v>
      </c>
      <c r="C18" s="18">
        <f>IFERROR('Data Sheet'!B29/'Data Sheet'!B17,0)</f>
        <v>3.6248241851742517E-2</v>
      </c>
      <c r="D18" s="18">
        <f>IFERROR('Data Sheet'!C29/'Data Sheet'!C17,0)</f>
        <v>3.8425497539839905E-2</v>
      </c>
      <c r="E18" s="18">
        <f>IFERROR('Data Sheet'!D29/'Data Sheet'!D17,0)</f>
        <v>4.1175600869070558E-2</v>
      </c>
      <c r="F18" s="18">
        <f>IFERROR('Data Sheet'!E29/'Data Sheet'!E17,0)</f>
        <v>3.454457786530496E-2</v>
      </c>
      <c r="G18" s="18">
        <f>IFERROR('Data Sheet'!F29/'Data Sheet'!F17,0)</f>
        <v>1.8836901929685436E-2</v>
      </c>
      <c r="H18" s="18">
        <f>IFERROR('Data Sheet'!G29/'Data Sheet'!G17,0)</f>
        <v>1.3242482805661343E-2</v>
      </c>
      <c r="I18" s="18">
        <f>IFERROR('Data Sheet'!H29/'Data Sheet'!H17,0)</f>
        <v>9.2573514261325169E-3</v>
      </c>
      <c r="J18" s="18">
        <f>IFERROR('Data Sheet'!I29/'Data Sheet'!I17,0)</f>
        <v>1.7964418187091578E-2</v>
      </c>
      <c r="K18" s="18">
        <f>IFERROR('Data Sheet'!J29/'Data Sheet'!J17,0)</f>
        <v>2.7748131584920715E-2</v>
      </c>
      <c r="L18" s="18">
        <f>IFERROR('Data Sheet'!K29/'Data Sheet'!K17,0)</f>
        <v>3.3481783759392598E-2</v>
      </c>
    </row>
    <row r="19" spans="2:12" x14ac:dyDescent="0.3">
      <c r="B19" s="126" t="str">
        <f>IFERROR('Data Sheet'!A30,0)</f>
        <v>Net profit</v>
      </c>
      <c r="C19" s="18">
        <f>IFERROR('Data Sheet'!B30/'Data Sheet'!B17,0)</f>
        <v>9.5455729392765976E-2</v>
      </c>
      <c r="D19" s="18">
        <f>IFERROR('Data Sheet'!C30/'Data Sheet'!C17,0)</f>
        <v>0.11030182859660717</v>
      </c>
      <c r="E19" s="18">
        <f>IFERROR('Data Sheet'!D30/'Data Sheet'!D17,0)</f>
        <v>9.8735236701441187E-2</v>
      </c>
      <c r="F19" s="18">
        <f>IFERROR('Data Sheet'!E30/'Data Sheet'!E17,0)</f>
        <v>8.8872235486850595E-2</v>
      </c>
      <c r="G19" s="18">
        <f>IFERROR('Data Sheet'!F30/'Data Sheet'!F17,0)</f>
        <v>7.501982553528945E-2</v>
      </c>
      <c r="H19" s="18">
        <f>IFERROR('Data Sheet'!G30/'Data Sheet'!G17,0)</f>
        <v>6.2369976695276538E-2</v>
      </c>
      <c r="I19" s="18">
        <f>IFERROR('Data Sheet'!H30/'Data Sheet'!H17,0)</f>
        <v>4.3920624749518279E-2</v>
      </c>
      <c r="J19" s="18">
        <f>IFERROR('Data Sheet'!I30/'Data Sheet'!I17,0)</f>
        <v>6.9838472484356304E-2</v>
      </c>
      <c r="K19" s="18">
        <f>IFERROR('Data Sheet'!J30/'Data Sheet'!J17,0)</f>
        <v>9.508227229726586E-2</v>
      </c>
      <c r="L19" s="18">
        <f>IFERROR('Data Sheet'!K30/'Data Sheet'!K17,0)</f>
        <v>9.4826469953502981E-2</v>
      </c>
    </row>
    <row r="20" spans="2:12" x14ac:dyDescent="0.3">
      <c r="B20" s="126" t="str">
        <f>IFERROR('Data Sheet'!A31,0)</f>
        <v>Dividend Amount</v>
      </c>
      <c r="C20" s="18">
        <f>IFERROR('Data Sheet'!B31/'Data Sheet'!B17,0)</f>
        <v>1.8354199586726631E-2</v>
      </c>
      <c r="D20" s="18">
        <f>IFERROR('Data Sheet'!C31/'Data Sheet'!C17,0)</f>
        <v>3.3267239480061689E-2</v>
      </c>
      <c r="E20" s="18">
        <f>IFERROR('Data Sheet'!D31/'Data Sheet'!D17,0)</f>
        <v>3.0272123333842882E-2</v>
      </c>
      <c r="F20" s="18">
        <f>IFERROR('Data Sheet'!E31/'Data Sheet'!E17,0)</f>
        <v>2.8070664645021118E-2</v>
      </c>
      <c r="G20" s="18">
        <f>IFERROR('Data Sheet'!F31/'Data Sheet'!F17,0)</f>
        <v>2.3949246629659002E-2</v>
      </c>
      <c r="H20" s="18">
        <f>IFERROR('Data Sheet'!G31/'Data Sheet'!G17,0)</f>
        <v>1.9311658045813675E-2</v>
      </c>
      <c r="I20" s="18">
        <f>IFERROR('Data Sheet'!H31/'Data Sheet'!H17,0)</f>
        <v>2.0514028108294141E-2</v>
      </c>
      <c r="J20" s="18">
        <f>IFERROR('Data Sheet'!I31/'Data Sheet'!I17,0)</f>
        <v>2.3117886763181151E-2</v>
      </c>
      <c r="K20" s="18">
        <f>IFERROR('Data Sheet'!J31/'Data Sheet'!J17,0)</f>
        <v>2.7703721039742502E-2</v>
      </c>
      <c r="L20" s="18">
        <f>IFERROR('Data Sheet'!K31/'Data Sheet'!K17,0)</f>
        <v>2.7756959839908966E-2</v>
      </c>
    </row>
    <row r="22" spans="2:12" x14ac:dyDescent="0.3">
      <c r="B22" s="147" t="str">
        <f>"Common Size Balance Sheet"&amp;" "&amp;"- "&amp;'Data Sheet'!B1</f>
        <v>Common Size Balance Sheet - MARUTI SUZUKI INDIA LTD</v>
      </c>
      <c r="C22" s="147"/>
      <c r="D22" s="147"/>
      <c r="E22" s="147"/>
      <c r="F22" s="147"/>
      <c r="G22" s="147"/>
      <c r="H22" s="147"/>
      <c r="I22" s="147"/>
      <c r="J22" s="147"/>
      <c r="K22" s="147"/>
      <c r="L22" s="147"/>
    </row>
    <row r="24" spans="2:12" x14ac:dyDescent="0.3">
      <c r="B24" s="124" t="s">
        <v>257</v>
      </c>
      <c r="C24" s="125">
        <f>IFERROR('Data Sheet'!B56,0)</f>
        <v>42460</v>
      </c>
      <c r="D24" s="125">
        <f>IFERROR('Data Sheet'!C56,0)</f>
        <v>42825</v>
      </c>
      <c r="E24" s="125">
        <f>IFERROR('Data Sheet'!D56,0)</f>
        <v>43190</v>
      </c>
      <c r="F24" s="125">
        <f>IFERROR('Data Sheet'!E56,0)</f>
        <v>43555</v>
      </c>
      <c r="G24" s="125">
        <f>IFERROR('Data Sheet'!F56,0)</f>
        <v>43921</v>
      </c>
      <c r="H24" s="125">
        <f>IFERROR('Data Sheet'!G56,0)</f>
        <v>44286</v>
      </c>
      <c r="I24" s="125">
        <f>IFERROR('Data Sheet'!H56,0)</f>
        <v>44651</v>
      </c>
      <c r="J24" s="125">
        <f>IFERROR('Data Sheet'!I56,0)</f>
        <v>45016</v>
      </c>
      <c r="K24" s="125">
        <f>IFERROR('Data Sheet'!J56,0)</f>
        <v>45382</v>
      </c>
      <c r="L24" s="125">
        <f>IFERROR('Data Sheet'!K56,0)</f>
        <v>45747</v>
      </c>
    </row>
    <row r="25" spans="2:12" x14ac:dyDescent="0.3">
      <c r="B25" s="129"/>
      <c r="C25" s="130"/>
      <c r="D25" s="130"/>
      <c r="E25" s="130"/>
      <c r="F25" s="130"/>
      <c r="G25" s="130"/>
      <c r="H25" s="130"/>
      <c r="I25" s="130"/>
      <c r="J25" s="130"/>
      <c r="K25" s="130"/>
      <c r="L25" s="130"/>
    </row>
    <row r="26" spans="2:12" x14ac:dyDescent="0.3">
      <c r="B26" s="126" t="s">
        <v>82</v>
      </c>
      <c r="C26" s="110">
        <f>IFERROR('Data Sheet'!B61/'Data Sheet'!B61,0)</f>
        <v>1</v>
      </c>
      <c r="D26" s="110">
        <f>IFERROR('Data Sheet'!C61/'Data Sheet'!C61,0)</f>
        <v>1</v>
      </c>
      <c r="E26" s="110">
        <f>IFERROR('Data Sheet'!D61/'Data Sheet'!D61,0)</f>
        <v>1</v>
      </c>
      <c r="F26" s="110">
        <f>IFERROR('Data Sheet'!E61/'Data Sheet'!E61,0)</f>
        <v>1</v>
      </c>
      <c r="G26" s="110">
        <f>IFERROR('Data Sheet'!F61/'Data Sheet'!F61,0)</f>
        <v>1</v>
      </c>
      <c r="H26" s="110">
        <f>IFERROR('Data Sheet'!G61/'Data Sheet'!G61,0)</f>
        <v>1</v>
      </c>
      <c r="I26" s="110">
        <f>IFERROR('Data Sheet'!H61/'Data Sheet'!H61,0)</f>
        <v>1</v>
      </c>
      <c r="J26" s="110">
        <f>IFERROR('Data Sheet'!I61/'Data Sheet'!I61,0)</f>
        <v>1</v>
      </c>
      <c r="K26" s="110">
        <f>IFERROR('Data Sheet'!J61/'Data Sheet'!J61,0)</f>
        <v>1</v>
      </c>
      <c r="L26" s="110">
        <f>IFERROR('Data Sheet'!K61/'Data Sheet'!K61,0)</f>
        <v>1</v>
      </c>
    </row>
    <row r="27" spans="2:12" x14ac:dyDescent="0.3">
      <c r="B27" s="128" t="str">
        <f>IFERROR('Data Sheet'!A57,0)</f>
        <v>Equity Share Capital</v>
      </c>
      <c r="C27" s="18">
        <f>IFERROR('Data Sheet'!B57/'Data Sheet'!B61,0)</f>
        <v>3.5341891844448865E-3</v>
      </c>
      <c r="D27" s="18">
        <f>IFERROR('Data Sheet'!C57/'Data Sheet'!C61,0)</f>
        <v>2.9060536368972585E-3</v>
      </c>
      <c r="E27" s="18">
        <f>IFERROR('Data Sheet'!D57/'Data Sheet'!D61,0)</f>
        <v>2.5062906234854369E-3</v>
      </c>
      <c r="F27" s="18">
        <f>IFERROR('Data Sheet'!E57/'Data Sheet'!E61,0)</f>
        <v>2.3605294464323959E-3</v>
      </c>
      <c r="G27" s="18">
        <f>IFERROR('Data Sheet'!F57/'Data Sheet'!F61,0)</f>
        <v>2.3731802343947683E-3</v>
      </c>
      <c r="H27" s="18">
        <f>IFERROR('Data Sheet'!G57/'Data Sheet'!G61,0)</f>
        <v>2.1155540860315985E-3</v>
      </c>
      <c r="I27" s="18">
        <f>IFERROR('Data Sheet'!H57/'Data Sheet'!H61,0)</f>
        <v>2.0226239192022021E-3</v>
      </c>
      <c r="J27" s="18">
        <f>IFERROR('Data Sheet'!I57/'Data Sheet'!I61,0)</f>
        <v>1.78493538179295E-3</v>
      </c>
      <c r="K27" s="18">
        <f>IFERROR('Data Sheet'!J57/'Data Sheet'!J61,0)</f>
        <v>1.3633513465696361E-3</v>
      </c>
      <c r="L27" s="18">
        <f>IFERROR('Data Sheet'!K57/'Data Sheet'!K61,0)</f>
        <v>1.1911689823234158E-3</v>
      </c>
    </row>
    <row r="28" spans="2:12" x14ac:dyDescent="0.3">
      <c r="B28" s="128" t="str">
        <f>IFERROR('Data Sheet'!A58,0)</f>
        <v>Reserves</v>
      </c>
      <c r="C28" s="18">
        <f>IFERROR('Data Sheet'!B58/'Data Sheet'!B61,)</f>
        <v>0.71304022188154614</v>
      </c>
      <c r="D28" s="18">
        <f>IFERROR('Data Sheet'!C58/'Data Sheet'!C61,)</f>
        <v>0.7106186430076693</v>
      </c>
      <c r="E28" s="18">
        <f>IFERROR('Data Sheet'!D58/'Data Sheet'!D61,)</f>
        <v>0.70389255150344243</v>
      </c>
      <c r="F28" s="18">
        <f>IFERROR('Data Sheet'!E58/'Data Sheet'!E61,)</f>
        <v>0.73381356819819699</v>
      </c>
      <c r="G28" s="18">
        <f>IFERROR('Data Sheet'!F58/'Data Sheet'!F61,)</f>
        <v>0.77422254772685484</v>
      </c>
      <c r="H28" s="18">
        <f>IFERROR('Data Sheet'!G58/'Data Sheet'!G61,)</f>
        <v>0.73343318001403823</v>
      </c>
      <c r="I28" s="18">
        <f>IFERROR('Data Sheet'!H58/'Data Sheet'!H61,)</f>
        <v>0.73916188358526835</v>
      </c>
      <c r="J28" s="18">
        <f>IFERROR('Data Sheet'!I58/'Data Sheet'!I61,)</f>
        <v>0.72863544645252964</v>
      </c>
      <c r="K28" s="18">
        <f>IFERROR('Data Sheet'!J58/'Data Sheet'!J61,)</f>
        <v>0.74133356923127625</v>
      </c>
      <c r="L28" s="18">
        <f>IFERROR('Data Sheet'!K58/'Data Sheet'!K61,)</f>
        <v>0.72805809146237954</v>
      </c>
    </row>
    <row r="29" spans="2:12" x14ac:dyDescent="0.3">
      <c r="B29" s="128" t="str">
        <f>IFERROR('Data Sheet'!A59,0)</f>
        <v>Borrowings</v>
      </c>
      <c r="C29" s="18">
        <f>IFERROR('Data Sheet'!B59/'Data Sheet'!B61,0)</f>
        <v>5.4042667727703594E-3</v>
      </c>
      <c r="D29" s="18">
        <f>IFERROR('Data Sheet'!C59/'Data Sheet'!C61,0)</f>
        <v>9.307069793400756E-3</v>
      </c>
      <c r="E29" s="18">
        <f>IFERROR('Data Sheet'!D59/'Data Sheet'!D61,0)</f>
        <v>2.0050324987883495E-3</v>
      </c>
      <c r="F29" s="18">
        <f>IFERROR('Data Sheet'!E59/'Data Sheet'!E61,0)</f>
        <v>2.4949701963616583E-3</v>
      </c>
      <c r="G29" s="18">
        <f>IFERROR('Data Sheet'!F59/'Data Sheet'!F61,0)</f>
        <v>2.8933939149144161E-3</v>
      </c>
      <c r="H29" s="18">
        <f>IFERROR('Data Sheet'!G59/'Data Sheet'!G61,0)</f>
        <v>7.5781669214204745E-3</v>
      </c>
      <c r="I29" s="18">
        <f>IFERROR('Data Sheet'!H59/'Data Sheet'!H61,0)</f>
        <v>5.6995130968247485E-3</v>
      </c>
      <c r="J29" s="18">
        <f>IFERROR('Data Sheet'!I59/'Data Sheet'!I61,0)</f>
        <v>1.474403908417448E-2</v>
      </c>
      <c r="K29" s="18">
        <f>IFERROR('Data Sheet'!J59/'Data Sheet'!J61,0)</f>
        <v>1.0285844128699673E-3</v>
      </c>
      <c r="L29" s="18">
        <f>IFERROR('Data Sheet'!K59/'Data Sheet'!K61,0)</f>
        <v>6.5923474212555456E-4</v>
      </c>
    </row>
    <row r="30" spans="2:12" x14ac:dyDescent="0.3">
      <c r="B30" s="128" t="str">
        <f>IFERROR('Data Sheet'!A60,0)</f>
        <v>Other Liabilities</v>
      </c>
      <c r="C30" s="18">
        <f>IFERROR('Data Sheet'!B60/'Data Sheet'!B61,0)</f>
        <v>0.27802132216123859</v>
      </c>
      <c r="D30" s="18">
        <f>IFERROR('Data Sheet'!C60/'Data Sheet'!C61,0)</f>
        <v>0.27716823356203268</v>
      </c>
      <c r="E30" s="18">
        <f>IFERROR('Data Sheet'!D60/'Data Sheet'!D61,0)</f>
        <v>0.29159612537428381</v>
      </c>
      <c r="F30" s="18">
        <f>IFERROR('Data Sheet'!E60/'Data Sheet'!E61,0)</f>
        <v>0.26133093215900904</v>
      </c>
      <c r="G30" s="18">
        <f>IFERROR('Data Sheet'!F60/'Data Sheet'!F61,0)</f>
        <v>0.22051087812383602</v>
      </c>
      <c r="H30" s="18">
        <f>IFERROR('Data Sheet'!G60/'Data Sheet'!G61,0)</f>
        <v>0.25687309897850957</v>
      </c>
      <c r="I30" s="18">
        <f>IFERROR('Data Sheet'!H60/'Data Sheet'!H61,0)</f>
        <v>0.25311597939870473</v>
      </c>
      <c r="J30" s="18">
        <f>IFERROR('Data Sheet'!I60/'Data Sheet'!I61,0)</f>
        <v>0.25483557908150301</v>
      </c>
      <c r="K30" s="18">
        <f>IFERROR('Data Sheet'!J60/'Data Sheet'!J61,0)</f>
        <v>0.25627449500928412</v>
      </c>
      <c r="L30" s="18">
        <f>IFERROR('Data Sheet'!K60/'Data Sheet'!K61,0)</f>
        <v>0.27009150481317135</v>
      </c>
    </row>
    <row r="31" spans="2:12" x14ac:dyDescent="0.3">
      <c r="B31" s="128"/>
    </row>
    <row r="32" spans="2:12" x14ac:dyDescent="0.3">
      <c r="B32" s="126" t="s">
        <v>86</v>
      </c>
      <c r="C32" s="127">
        <f>IFERROR('Data Sheet'!B74/'Data Sheet'!B74,0)</f>
        <v>1</v>
      </c>
      <c r="D32" s="127">
        <f>IFERROR('Data Sheet'!C74/'Data Sheet'!C74,0)</f>
        <v>1</v>
      </c>
      <c r="E32" s="127">
        <f>IFERROR('Data Sheet'!D74/'Data Sheet'!D74,0)</f>
        <v>1</v>
      </c>
      <c r="F32" s="127">
        <f>IFERROR('Data Sheet'!E74/'Data Sheet'!E74,0)</f>
        <v>1</v>
      </c>
      <c r="G32" s="127">
        <f>IFERROR('Data Sheet'!F74/'Data Sheet'!F74,0)</f>
        <v>1</v>
      </c>
      <c r="H32" s="127">
        <f>IFERROR('Data Sheet'!G74/'Data Sheet'!G74,0)</f>
        <v>1</v>
      </c>
      <c r="I32" s="127">
        <f>IFERROR('Data Sheet'!H74/'Data Sheet'!H74,0)</f>
        <v>1</v>
      </c>
      <c r="J32" s="127">
        <f>IFERROR('Data Sheet'!I74/'Data Sheet'!I74,0)</f>
        <v>1</v>
      </c>
      <c r="K32" s="127">
        <f>IFERROR('Data Sheet'!J74/'Data Sheet'!J74,0)</f>
        <v>1</v>
      </c>
      <c r="L32" s="127">
        <f>IFERROR('Data Sheet'!K74/'Data Sheet'!K74,0)</f>
        <v>1</v>
      </c>
    </row>
    <row r="33" spans="2:12" x14ac:dyDescent="0.3">
      <c r="B33" s="128" t="str">
        <f>IFERROR('Data Sheet'!A62,0)</f>
        <v>Net Block</v>
      </c>
      <c r="C33" s="18">
        <f>IFERROR('Data Sheet'!B62/'Data Sheet'!B74,0)</f>
        <v>0.26527665448571103</v>
      </c>
      <c r="D33" s="18">
        <f>IFERROR('Data Sheet'!C62/'Data Sheet'!C74,0)</f>
        <v>0.23579502677576558</v>
      </c>
      <c r="E33" s="18">
        <f>IFERROR('Data Sheet'!D62/'Data Sheet'!D74,0)</f>
        <v>0.20614645562603928</v>
      </c>
      <c r="F33" s="18">
        <f>IFERROR('Data Sheet'!E62/'Data Sheet'!E74,0)</f>
        <v>0.22119042467678915</v>
      </c>
      <c r="G33" s="18">
        <f>IFERROR('Data Sheet'!F62/'Data Sheet'!F74,0)</f>
        <v>0.22868248017743356</v>
      </c>
      <c r="H33" s="18">
        <f>IFERROR('Data Sheet'!G62/'Data Sheet'!G74,0)</f>
        <v>0.19032762300941816</v>
      </c>
      <c r="I33" s="18">
        <f>IFERROR('Data Sheet'!H62/'Data Sheet'!H74,0)</f>
        <v>0.16510277489206085</v>
      </c>
      <c r="J33" s="18">
        <f>IFERROR('Data Sheet'!I62/'Data Sheet'!I74,0)</f>
        <v>0.19333921759553435</v>
      </c>
      <c r="K33" s="18">
        <f>IFERROR('Data Sheet'!J62/'Data Sheet'!J74,0)</f>
        <v>0.21761486461157828</v>
      </c>
      <c r="L33" s="18">
        <f>IFERROR('Data Sheet'!K62/'Data Sheet'!K74,0)</f>
        <v>0.22594449810586598</v>
      </c>
    </row>
    <row r="34" spans="2:12" x14ac:dyDescent="0.3">
      <c r="B34" s="128" t="str">
        <f>IFERROR('Data Sheet'!A63,0)</f>
        <v>Capital Work in Progress</v>
      </c>
      <c r="C34" s="18">
        <f>IFERROR('Data Sheet'!B63/'Data Sheet'!B74,0)</f>
        <v>2.1318083849577195E-2</v>
      </c>
      <c r="D34" s="18">
        <f>IFERROR('Data Sheet'!C63/'Data Sheet'!C74,0)</f>
        <v>2.2184115939153554E-2</v>
      </c>
      <c r="E34" s="18">
        <f>IFERROR('Data Sheet'!D63/'Data Sheet'!D74,0)</f>
        <v>3.2827800702100139E-2</v>
      </c>
      <c r="F34" s="18">
        <f>IFERROR('Data Sheet'!E63/'Data Sheet'!E74,0)</f>
        <v>2.3024161829667916E-2</v>
      </c>
      <c r="G34" s="18">
        <f>IFERROR('Data Sheet'!F63/'Data Sheet'!F74,0)</f>
        <v>2.0555336878325246E-2</v>
      </c>
      <c r="H34" s="18">
        <f>IFERROR('Data Sheet'!G63/'Data Sheet'!G74,0)</f>
        <v>1.900647728758979E-2</v>
      </c>
      <c r="I34" s="18">
        <f>IFERROR('Data Sheet'!H63/'Data Sheet'!H74,0)</f>
        <v>3.5267130649916829E-2</v>
      </c>
      <c r="J34" s="18">
        <f>IFERROR('Data Sheet'!I63/'Data Sheet'!I74,0)</f>
        <v>3.1489838804468283E-2</v>
      </c>
      <c r="K34" s="18">
        <f>IFERROR('Data Sheet'!J63/'Data Sheet'!J74,0)</f>
        <v>6.0406227742443364E-2</v>
      </c>
      <c r="L34" s="18">
        <f>IFERROR('Data Sheet'!K63/'Data Sheet'!K74,0)</f>
        <v>5.4316775930454794E-2</v>
      </c>
    </row>
    <row r="35" spans="2:12" x14ac:dyDescent="0.3">
      <c r="B35" s="128" t="str">
        <f>IFERROR('Data Sheet'!A64,0)</f>
        <v>Investments</v>
      </c>
      <c r="C35" s="18">
        <f>IFERROR('Data Sheet'!B64/'Data Sheet'!B74,0)</f>
        <v>0.43774797701567997</v>
      </c>
      <c r="D35" s="18">
        <f>IFERROR('Data Sheet'!C64/'Data Sheet'!C74,0)</f>
        <v>0.5163940669934437</v>
      </c>
      <c r="E35" s="18">
        <f>IFERROR('Data Sheet'!D64/'Data Sheet'!D74,0)</f>
        <v>0.5561849479583667</v>
      </c>
      <c r="F35" s="18">
        <f>IFERROR('Data Sheet'!E64/'Data Sheet'!E74,0)</f>
        <v>0.53736321836774759</v>
      </c>
      <c r="G35" s="18">
        <f>IFERROR('Data Sheet'!F64/'Data Sheet'!F74,0)</f>
        <v>0.54450146190973481</v>
      </c>
      <c r="H35" s="18">
        <f>IFERROR('Data Sheet'!G64/'Data Sheet'!G74,0)</f>
        <v>0.54531625188407673</v>
      </c>
      <c r="I35" s="18">
        <f>IFERROR('Data Sheet'!H64/'Data Sheet'!H74,0)</f>
        <v>0.50483339238210756</v>
      </c>
      <c r="J35" s="18">
        <f>IFERROR('Data Sheet'!I64/'Data Sheet'!I74,0)</f>
        <v>0.53331692390434537</v>
      </c>
      <c r="K35" s="18">
        <f>IFERROR('Data Sheet'!J64/'Data Sheet'!J74,0)</f>
        <v>0.44746279473690787</v>
      </c>
      <c r="L35" s="18">
        <f>IFERROR('Data Sheet'!K64/'Data Sheet'!K74,0)</f>
        <v>0.45394411448378852</v>
      </c>
    </row>
    <row r="36" spans="2:12" x14ac:dyDescent="0.3">
      <c r="B36" s="128" t="str">
        <f>IFERROR('Data Sheet'!A65,0)</f>
        <v>Other Assets</v>
      </c>
      <c r="C36" s="18">
        <f>IFERROR('Data Sheet'!B65/'Data Sheet'!B74,0)</f>
        <v>0.18024144545458398</v>
      </c>
      <c r="D36" s="18">
        <f>IFERROR('Data Sheet'!C65/'Data Sheet'!C74,0)</f>
        <v>0.1460913405243196</v>
      </c>
      <c r="E36" s="18">
        <f>IFERROR('Data Sheet'!D65/'Data Sheet'!D74,0)</f>
        <v>0.13248136971115354</v>
      </c>
      <c r="F36" s="18">
        <f>IFERROR('Data Sheet'!E65/'Data Sheet'!E74,0)</f>
        <v>0.13498557855567767</v>
      </c>
      <c r="G36" s="18">
        <f>IFERROR('Data Sheet'!F65/'Data Sheet'!F74,0)</f>
        <v>0.13043314068756962</v>
      </c>
      <c r="H36" s="18">
        <f>IFERROR('Data Sheet'!G65/'Data Sheet'!G74,0)</f>
        <v>0.15168865338194154</v>
      </c>
      <c r="I36" s="18">
        <f>IFERROR('Data Sheet'!H65/'Data Sheet'!H74,0)</f>
        <v>0.19140329912507731</v>
      </c>
      <c r="J36" s="18">
        <f>IFERROR('Data Sheet'!I65/'Data Sheet'!I74,0)</f>
        <v>0.15915808786056468</v>
      </c>
      <c r="K36" s="18">
        <f>IFERROR('Data Sheet'!J65/'Data Sheet'!J74,0)</f>
        <v>0.17500296767421808</v>
      </c>
      <c r="L36" s="18">
        <f>IFERROR('Data Sheet'!K65/'Data Sheet'!K74,0)</f>
        <v>0.16984935983065824</v>
      </c>
    </row>
    <row r="37" spans="2:12" x14ac:dyDescent="0.3">
      <c r="B37" s="128" t="str">
        <f>IFERROR('Data Sheet'!A67,0)</f>
        <v>Receivables</v>
      </c>
      <c r="C37" s="18">
        <f>IFERROR('Data Sheet'!B67/'Data Sheet'!B74,0)</f>
        <v>2.8019020922167508E-2</v>
      </c>
      <c r="D37" s="18">
        <f>IFERROR('Data Sheet'!C67/'Data Sheet'!C74,0)</f>
        <v>2.1303695463088766E-2</v>
      </c>
      <c r="E37" s="18">
        <f>IFERROR('Data Sheet'!D67/'Data Sheet'!D74,0)</f>
        <v>2.2562665517029009E-2</v>
      </c>
      <c r="F37" s="18">
        <f>IFERROR('Data Sheet'!E67/'Data Sheet'!E74,0)</f>
        <v>3.3138516074214919E-2</v>
      </c>
      <c r="G37" s="18">
        <f>IFERROR('Data Sheet'!F67/'Data Sheet'!F74,0)</f>
        <v>2.8725473250610398E-2</v>
      </c>
      <c r="H37" s="18">
        <f>IFERROR('Data Sheet'!G67/'Data Sheet'!G74,0)</f>
        <v>1.6252265018964575E-2</v>
      </c>
      <c r="I37" s="18">
        <f>IFERROR('Data Sheet'!H67/'Data Sheet'!H74,0)</f>
        <v>2.4434182634856392E-2</v>
      </c>
      <c r="J37" s="18">
        <f>IFERROR('Data Sheet'!I67/'Data Sheet'!I74,0)</f>
        <v>3.5797856075573016E-2</v>
      </c>
      <c r="K37" s="18">
        <f>IFERROR('Data Sheet'!J67/'Data Sheet'!J74,0)</f>
        <v>3.5899486436166889E-2</v>
      </c>
      <c r="L37" s="18">
        <f>IFERROR('Data Sheet'!K67/'Data Sheet'!K74,0)</f>
        <v>4.4799523212560879E-2</v>
      </c>
    </row>
    <row r="38" spans="2:12" x14ac:dyDescent="0.3">
      <c r="B38" s="128" t="str">
        <f>IFERROR('Data Sheet'!A68,0)</f>
        <v>Inventory</v>
      </c>
      <c r="C38" s="18">
        <f>IFERROR('Data Sheet'!B68/'Data Sheet'!B74,0)</f>
        <v>6.6323398020841723E-2</v>
      </c>
      <c r="D38" s="18">
        <f>IFERROR('Data Sheet'!C68/'Data Sheet'!C74,0)</f>
        <v>5.7815458908101455E-2</v>
      </c>
      <c r="E38" s="18">
        <f>IFERROR('Data Sheet'!D68/'Data Sheet'!D74,0)</f>
        <v>4.865738744842027E-2</v>
      </c>
      <c r="F38" s="18">
        <f>IFERROR('Data Sheet'!E68/'Data Sheet'!E74,0)</f>
        <v>4.7607243820557976E-2</v>
      </c>
      <c r="G38" s="18">
        <f>IFERROR('Data Sheet'!F68/'Data Sheet'!F74,0)</f>
        <v>4.6680891176688458E-2</v>
      </c>
      <c r="H38" s="18">
        <f>IFERROR('Data Sheet'!G68/'Data Sheet'!G74,0)</f>
        <v>3.8716427879383529E-2</v>
      </c>
      <c r="I38" s="18">
        <f>IFERROR('Data Sheet'!H68/'Data Sheet'!H74,0)</f>
        <v>4.2422641101549884E-2</v>
      </c>
      <c r="J38" s="18">
        <f>IFERROR('Data Sheet'!I68/'Data Sheet'!I74,0)</f>
        <v>4.6446997182927545E-2</v>
      </c>
      <c r="K38" s="18">
        <f>IFERROR('Data Sheet'!J68/'Data Sheet'!J74,0)</f>
        <v>4.1532600682252681E-2</v>
      </c>
      <c r="L38" s="18">
        <f>IFERROR('Data Sheet'!K68/'Data Sheet'!K74,0)</f>
        <v>4.7358145461271296E-2</v>
      </c>
    </row>
    <row r="39" spans="2:12" x14ac:dyDescent="0.3">
      <c r="B39" s="128" t="str">
        <f>IFERROR('Data Sheet'!A69,0)</f>
        <v>Cash &amp; Bank</v>
      </c>
      <c r="C39" s="18">
        <f>IFERROR('Data Sheet'!B69/'Data Sheet'!B74,0)</f>
        <v>1.0734202514386373E-3</v>
      </c>
      <c r="D39" s="18">
        <f>IFERROR('Data Sheet'!C69/'Data Sheet'!C74,0)</f>
        <v>4.1629539612721275E-4</v>
      </c>
      <c r="E39" s="18">
        <f>IFERROR('Data Sheet'!D69/'Data Sheet'!D74,0)</f>
        <v>1.1393730368910514E-3</v>
      </c>
      <c r="F39" s="18">
        <f>IFERROR('Data Sheet'!E69/'Data Sheet'!E74,0)</f>
        <v>2.690856675344847E-3</v>
      </c>
      <c r="G39" s="18">
        <f>IFERROR('Data Sheet'!F69/'Data Sheet'!F74,0)</f>
        <v>4.2121591963781237E-4</v>
      </c>
      <c r="H39" s="18">
        <f>IFERROR('Data Sheet'!G69/'Data Sheet'!G74,0)</f>
        <v>3.8692301538625636E-2</v>
      </c>
      <c r="I39" s="18">
        <f>IFERROR('Data Sheet'!H69/'Data Sheet'!H74,0)</f>
        <v>3.6536579214431118E-2</v>
      </c>
      <c r="J39" s="18">
        <f>IFERROR('Data Sheet'!I69/'Data Sheet'!I74,0)</f>
        <v>4.5107857658685329E-4</v>
      </c>
      <c r="K39" s="18">
        <f>IFERROR('Data Sheet'!J69/'Data Sheet'!J74,0)</f>
        <v>2.2081058116432791E-2</v>
      </c>
      <c r="L39" s="18">
        <f>IFERROR('Data Sheet'!K69/'Data Sheet'!K74,0)</f>
        <v>3.7875829754002339E-3</v>
      </c>
    </row>
    <row r="40" spans="2:12" x14ac:dyDescent="0.3">
      <c r="B40" s="128"/>
    </row>
  </sheetData>
  <mergeCells count="2">
    <mergeCell ref="B2:L2"/>
    <mergeCell ref="B22:L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0"/>
  <sheetViews>
    <sheetView showGridLines="0" workbookViewId="0">
      <selection activeCell="C27" sqref="C27"/>
    </sheetView>
  </sheetViews>
  <sheetFormatPr defaultRowHeight="14.4" x14ac:dyDescent="0.3"/>
  <cols>
    <col min="1" max="1" width="1.88671875" customWidth="1"/>
    <col min="2" max="2" width="25.109375" bestFit="1" customWidth="1"/>
    <col min="3" max="3" width="12.88671875" customWidth="1"/>
    <col min="4" max="4" width="13.6640625" customWidth="1"/>
    <col min="5" max="5" width="12.21875" customWidth="1"/>
    <col min="6" max="6" width="11.5546875" customWidth="1"/>
    <col min="7" max="7" width="11.21875" customWidth="1"/>
    <col min="8" max="8" width="13.6640625" bestFit="1" customWidth="1"/>
    <col min="9" max="9" width="10.5546875" customWidth="1"/>
    <col min="11" max="12" width="9" bestFit="1" customWidth="1"/>
    <col min="13" max="13" width="11.88671875" bestFit="1" customWidth="1"/>
    <col min="14" max="15" width="9.109375" bestFit="1" customWidth="1"/>
  </cols>
  <sheetData>
    <row r="2" spans="2:15" x14ac:dyDescent="0.3">
      <c r="B2" s="146" t="str">
        <f>"Present Value - "&amp;'Data Sheet'!B1</f>
        <v>Present Value - MARUTI SUZUKI INDIA LTD</v>
      </c>
      <c r="C2" s="146"/>
      <c r="D2" s="146"/>
      <c r="E2" s="146"/>
      <c r="F2" s="146"/>
      <c r="G2" s="146"/>
      <c r="H2" s="146"/>
    </row>
    <row r="3" spans="2:15" x14ac:dyDescent="0.3">
      <c r="B3" s="8" t="s">
        <v>54</v>
      </c>
      <c r="C3" s="63">
        <v>2026</v>
      </c>
      <c r="D3" s="63">
        <f>C3+1</f>
        <v>2027</v>
      </c>
      <c r="E3" s="63">
        <f t="shared" ref="E3:G3" si="0">D3+1</f>
        <v>2028</v>
      </c>
      <c r="F3" s="63">
        <f t="shared" si="0"/>
        <v>2029</v>
      </c>
      <c r="G3" s="63">
        <f t="shared" si="0"/>
        <v>2030</v>
      </c>
      <c r="H3" s="63" t="s">
        <v>241</v>
      </c>
    </row>
    <row r="5" spans="2:15" x14ac:dyDescent="0.3">
      <c r="B5" t="s">
        <v>278</v>
      </c>
      <c r="C5" s="17">
        <f>FCFF!C14</f>
        <v>632.26555330171323</v>
      </c>
      <c r="D5" s="17">
        <f>FCFF!D14</f>
        <v>399.76802288151521</v>
      </c>
      <c r="E5" s="17">
        <f>FCFF!E14</f>
        <v>376.83781700132386</v>
      </c>
      <c r="F5" s="17">
        <f>FCFF!F14</f>
        <v>491.42728890253784</v>
      </c>
      <c r="G5" s="17">
        <f>FCFF!G14</f>
        <v>640.02500313924975</v>
      </c>
      <c r="H5" s="17">
        <f>C14</f>
        <v>10036.946515018579</v>
      </c>
    </row>
    <row r="6" spans="2:15" x14ac:dyDescent="0.3">
      <c r="B6" t="s">
        <v>237</v>
      </c>
      <c r="C6" s="52">
        <f>1/(1+WACC!$J$41)^1</f>
        <v>0.89957470532355444</v>
      </c>
      <c r="D6" s="52">
        <f>1/(1+WACC!$J$41)^2</f>
        <v>0.80923465045795984</v>
      </c>
      <c r="E6" s="52">
        <f>1/(1+WACC!$J$41)^3</f>
        <v>0.72796702222332865</v>
      </c>
      <c r="F6" s="52">
        <f>1/(1+WACC!$J$41)^4</f>
        <v>0.65486071950181635</v>
      </c>
      <c r="G6" s="52">
        <f>1/(1+WACC!$J$41)^5</f>
        <v>0.58909613877381728</v>
      </c>
      <c r="H6" s="52">
        <f>G6</f>
        <v>0.58909613877381728</v>
      </c>
    </row>
    <row r="7" spans="2:15" x14ac:dyDescent="0.3">
      <c r="B7" s="41" t="s">
        <v>238</v>
      </c>
      <c r="C7" s="42">
        <f>C5*C6</f>
        <v>568.77009879762272</v>
      </c>
      <c r="D7" s="42">
        <f t="shared" ref="D7:H7" si="1">D5*D6</f>
        <v>323.50613626079263</v>
      </c>
      <c r="E7" s="42">
        <f t="shared" si="1"/>
        <v>274.32550350359338</v>
      </c>
      <c r="F7" s="42">
        <f t="shared" si="1"/>
        <v>321.8164279935429</v>
      </c>
      <c r="G7" s="42">
        <f t="shared" si="1"/>
        <v>377.03625806803228</v>
      </c>
      <c r="H7" s="42">
        <f t="shared" si="1"/>
        <v>5912.7264370767662</v>
      </c>
    </row>
    <row r="9" spans="2:15" x14ac:dyDescent="0.3">
      <c r="B9" s="14" t="s">
        <v>239</v>
      </c>
      <c r="C9" s="14"/>
      <c r="D9" s="14"/>
      <c r="E9" s="14"/>
      <c r="F9" s="14"/>
      <c r="G9" s="14"/>
      <c r="H9" s="14"/>
    </row>
    <row r="10" spans="2:15" x14ac:dyDescent="0.3">
      <c r="J10" s="17"/>
      <c r="K10" s="62"/>
      <c r="L10" s="45"/>
      <c r="M10" s="45"/>
      <c r="N10" s="62"/>
      <c r="O10" s="62"/>
    </row>
    <row r="11" spans="2:15" x14ac:dyDescent="0.3">
      <c r="B11" t="s">
        <v>240</v>
      </c>
      <c r="C11" s="17">
        <f>FCFF!G14</f>
        <v>640.02500313924975</v>
      </c>
      <c r="J11" s="62"/>
      <c r="K11" s="39"/>
      <c r="L11" s="39"/>
      <c r="M11" s="39"/>
      <c r="N11" s="39"/>
      <c r="O11" s="39"/>
    </row>
    <row r="12" spans="2:15" x14ac:dyDescent="0.3">
      <c r="B12" t="s">
        <v>158</v>
      </c>
      <c r="C12" s="45">
        <f>'Growth Assumptions'!C21</f>
        <v>4.4999999999999998E-2</v>
      </c>
      <c r="J12" s="62"/>
      <c r="K12" s="39"/>
      <c r="L12" s="39"/>
      <c r="M12" s="39"/>
      <c r="N12" s="39"/>
      <c r="O12" s="39"/>
    </row>
    <row r="13" spans="2:15" x14ac:dyDescent="0.3">
      <c r="B13" t="s">
        <v>221</v>
      </c>
      <c r="C13" s="45">
        <f>WACC!J41</f>
        <v>0.11163641449914391</v>
      </c>
      <c r="J13" s="62"/>
      <c r="K13" s="39"/>
      <c r="L13" s="39"/>
      <c r="M13" s="39"/>
      <c r="N13" s="39"/>
      <c r="O13" s="39"/>
    </row>
    <row r="14" spans="2:15" x14ac:dyDescent="0.3">
      <c r="B14" s="41" t="s">
        <v>241</v>
      </c>
      <c r="C14" s="104">
        <f>C11*(1+C12)/(C13-C12)</f>
        <v>10036.946515018579</v>
      </c>
      <c r="J14" s="62"/>
      <c r="K14" s="39"/>
      <c r="L14" s="39"/>
      <c r="M14" s="39"/>
      <c r="N14" s="39"/>
      <c r="O14" s="39"/>
    </row>
    <row r="15" spans="2:15" x14ac:dyDescent="0.3">
      <c r="J15" s="62"/>
      <c r="K15" s="39"/>
      <c r="L15" s="39"/>
      <c r="M15" s="39"/>
      <c r="N15" s="39"/>
      <c r="O15" s="39"/>
    </row>
    <row r="16" spans="2:15" x14ac:dyDescent="0.3">
      <c r="B16" s="14" t="s">
        <v>242</v>
      </c>
      <c r="C16" s="14"/>
      <c r="D16" s="14"/>
      <c r="E16" s="14"/>
      <c r="F16" s="14"/>
      <c r="G16" s="14"/>
      <c r="H16" s="14"/>
    </row>
    <row r="18" spans="2:9" x14ac:dyDescent="0.3">
      <c r="B18" t="s">
        <v>243</v>
      </c>
      <c r="C18" s="17">
        <f>SUM(C7:G7)</f>
        <v>1865.4544246235839</v>
      </c>
    </row>
    <row r="19" spans="2:9" x14ac:dyDescent="0.3">
      <c r="B19" t="s">
        <v>244</v>
      </c>
      <c r="C19" s="17">
        <f>H7</f>
        <v>5912.7264370767662</v>
      </c>
    </row>
    <row r="20" spans="2:9" x14ac:dyDescent="0.3">
      <c r="B20" s="19" t="s">
        <v>245</v>
      </c>
      <c r="C20" s="21">
        <f>SUM(C19,C18)</f>
        <v>7778.1808617003499</v>
      </c>
    </row>
    <row r="21" spans="2:9" x14ac:dyDescent="0.3">
      <c r="B21" t="s">
        <v>246</v>
      </c>
      <c r="C21" s="17">
        <f>WACC!D8</f>
        <v>99.9</v>
      </c>
    </row>
    <row r="22" spans="2:9" x14ac:dyDescent="0.3">
      <c r="B22" t="s">
        <v>247</v>
      </c>
      <c r="C22" s="17">
        <f>IFERROR(SUM('Beta - Comps Data'!H3,'Beta - Comps Data'!I3),0)</f>
        <v>66141.899999999994</v>
      </c>
    </row>
    <row r="23" spans="2:9" x14ac:dyDescent="0.3">
      <c r="B23" s="19" t="s">
        <v>248</v>
      </c>
      <c r="C23" s="21">
        <f>C20+C22-C21</f>
        <v>73820.180861700355</v>
      </c>
    </row>
    <row r="24" spans="2:9" x14ac:dyDescent="0.3">
      <c r="B24" t="s">
        <v>249</v>
      </c>
      <c r="C24" s="17">
        <f>IFERROR('Data Sheet'!K93,0)</f>
        <v>31.44</v>
      </c>
    </row>
    <row r="25" spans="2:9" x14ac:dyDescent="0.3">
      <c r="B25" s="19" t="s">
        <v>250</v>
      </c>
      <c r="C25" s="21">
        <f>C23/C24</f>
        <v>2347.9701291889423</v>
      </c>
    </row>
    <row r="26" spans="2:9" x14ac:dyDescent="0.3">
      <c r="B26" t="s">
        <v>251</v>
      </c>
      <c r="C26" s="17">
        <f>IFERROR('Beta - Comps Data'!D3,0)</f>
        <v>13502.4</v>
      </c>
    </row>
    <row r="27" spans="2:9" x14ac:dyDescent="0.3">
      <c r="B27" t="s">
        <v>252</v>
      </c>
      <c r="C27" s="45">
        <f>C25/C26-1</f>
        <v>-0.82610720100212243</v>
      </c>
    </row>
    <row r="29" spans="2:9" x14ac:dyDescent="0.3">
      <c r="B29" s="14" t="s">
        <v>255</v>
      </c>
      <c r="C29" s="14"/>
      <c r="D29" s="14"/>
      <c r="E29" s="14"/>
      <c r="F29" s="14"/>
      <c r="G29" s="14"/>
      <c r="H29" s="14"/>
      <c r="I29" s="14"/>
    </row>
    <row r="31" spans="2:9" x14ac:dyDescent="0.3">
      <c r="B31" s="105"/>
      <c r="C31" s="114"/>
      <c r="D31" s="148" t="s">
        <v>221</v>
      </c>
      <c r="E31" s="148"/>
      <c r="F31" s="148"/>
      <c r="G31" s="148"/>
      <c r="H31" s="148"/>
      <c r="I31" s="149"/>
    </row>
    <row r="32" spans="2:9" x14ac:dyDescent="0.3">
      <c r="B32" s="106"/>
      <c r="C32" s="108">
        <f>C20</f>
        <v>7778.1808617003499</v>
      </c>
      <c r="D32" s="123">
        <f t="shared" ref="D32" si="2">E32-0.5%</f>
        <v>0.1016</v>
      </c>
      <c r="E32" s="123">
        <f>F32-0.5%</f>
        <v>0.1066</v>
      </c>
      <c r="F32" s="117">
        <v>0.1116</v>
      </c>
      <c r="G32" s="123">
        <f>F32+1%</f>
        <v>0.1216</v>
      </c>
      <c r="H32" s="123">
        <f t="shared" ref="H32:I32" si="3">G32+0.5%</f>
        <v>0.12659999999999999</v>
      </c>
      <c r="I32" s="123">
        <f t="shared" si="3"/>
        <v>0.13159999999999999</v>
      </c>
    </row>
    <row r="33" spans="2:9" x14ac:dyDescent="0.3">
      <c r="B33" s="106"/>
      <c r="C33" s="109">
        <f t="shared" ref="C33:C34" si="4">C34-0.25%</f>
        <v>3.7499999999999992E-2</v>
      </c>
      <c r="D33" s="111">
        <f t="dataTable" ref="D33:I40" dt2D="1" dtr="1" r1="C13" r2="C12"/>
        <v>7968.0303644922815</v>
      </c>
      <c r="E33" s="111">
        <v>7526.4546814337646</v>
      </c>
      <c r="F33" s="111">
        <v>7144.4708584371256</v>
      </c>
      <c r="G33" s="111">
        <v>6516.7637913962772</v>
      </c>
      <c r="H33" s="111">
        <v>6255.7475530813117</v>
      </c>
      <c r="I33" s="111">
        <v>6022.4694909953532</v>
      </c>
    </row>
    <row r="34" spans="2:9" x14ac:dyDescent="0.3">
      <c r="B34" s="106"/>
      <c r="C34" s="109">
        <f t="shared" si="4"/>
        <v>3.9999999999999994E-2</v>
      </c>
      <c r="D34" s="111">
        <v>8231.001638759195</v>
      </c>
      <c r="E34" s="111">
        <v>7753.107703764028</v>
      </c>
      <c r="F34" s="111">
        <v>7341.958731757014</v>
      </c>
      <c r="G34" s="111">
        <v>6670.8184980396818</v>
      </c>
      <c r="H34" s="111">
        <v>6393.3725353713162</v>
      </c>
      <c r="I34" s="111">
        <v>6146.215433256265</v>
      </c>
    </row>
    <row r="35" spans="2:9" x14ac:dyDescent="0.3">
      <c r="B35" s="106"/>
      <c r="C35" s="109">
        <f>C36-0.25%</f>
        <v>4.2499999999999996E-2</v>
      </c>
      <c r="D35" s="111">
        <v>8516.2209057728851</v>
      </c>
      <c r="E35" s="111">
        <v>7997.4403690217687</v>
      </c>
      <c r="F35" s="111">
        <v>7553.7366103822478</v>
      </c>
      <c r="G35" s="111">
        <v>6834.6111760259064</v>
      </c>
      <c r="H35" s="111">
        <v>6539.1797401518088</v>
      </c>
      <c r="I35" s="111">
        <v>6276.9055922546013</v>
      </c>
    </row>
    <row r="36" spans="2:9" x14ac:dyDescent="0.3">
      <c r="B36" s="115" t="s">
        <v>241</v>
      </c>
      <c r="C36" s="118">
        <v>4.4999999999999998E-2</v>
      </c>
      <c r="D36" s="111">
        <v>8826.6362211093401</v>
      </c>
      <c r="E36" s="111">
        <v>8261.6052311348467</v>
      </c>
      <c r="F36" s="116">
        <v>7781.4137291445104</v>
      </c>
      <c r="G36" s="111">
        <v>7009.0952820791153</v>
      </c>
      <c r="H36" s="111">
        <v>6693.9212099311053</v>
      </c>
      <c r="I36" s="111">
        <v>6415.1413724422182</v>
      </c>
    </row>
    <row r="37" spans="2:9" x14ac:dyDescent="0.3">
      <c r="B37" s="113"/>
      <c r="C37" s="109">
        <f>C36+0.25%</f>
        <v>4.7500000000000001E-2</v>
      </c>
      <c r="D37" s="111">
        <v>9165.7405674380734</v>
      </c>
      <c r="E37" s="111">
        <v>8548.1190663539364</v>
      </c>
      <c r="F37" s="111">
        <v>8026.8503735512568</v>
      </c>
      <c r="G37" s="111">
        <v>7195.3529445461727</v>
      </c>
      <c r="H37" s="111">
        <v>6858.4440621237591</v>
      </c>
      <c r="I37" s="111">
        <v>6561.5956889073395</v>
      </c>
    </row>
    <row r="38" spans="2:9" x14ac:dyDescent="0.3">
      <c r="B38" s="106"/>
      <c r="C38" s="109">
        <f t="shared" ref="C38:C40" si="5">C37+0.25%</f>
        <v>0.05</v>
      </c>
      <c r="D38" s="111">
        <v>9537.7038620544754</v>
      </c>
      <c r="E38" s="111">
        <v>8859.9433110446789</v>
      </c>
      <c r="F38" s="111">
        <v>8292.2088235104984</v>
      </c>
      <c r="G38" s="111">
        <v>7394.6174270179135</v>
      </c>
      <c r="H38" s="111">
        <v>7033.7060038851241</v>
      </c>
      <c r="I38" s="111">
        <v>6717.0239218225306</v>
      </c>
    </row>
    <row r="39" spans="2:9" x14ac:dyDescent="0.3">
      <c r="B39" s="106"/>
      <c r="C39" s="109">
        <f t="shared" si="5"/>
        <v>5.2500000000000005E-2</v>
      </c>
      <c r="D39" s="111">
        <v>9947.5452925788613</v>
      </c>
      <c r="E39" s="111">
        <v>9200.5868020099806</v>
      </c>
      <c r="F39" s="111">
        <v>8580.0172269349878</v>
      </c>
      <c r="G39" s="111">
        <v>7608.3004682792134</v>
      </c>
      <c r="H39" s="111">
        <v>7220.7939876006967</v>
      </c>
      <c r="I39" s="111">
        <v>6882.2769482216127</v>
      </c>
    </row>
    <row r="40" spans="2:9" x14ac:dyDescent="0.3">
      <c r="B40" s="107"/>
      <c r="C40" s="122">
        <f t="shared" si="5"/>
        <v>5.5000000000000007E-2</v>
      </c>
      <c r="D40" s="112">
        <v>10401.361125520025</v>
      </c>
      <c r="E40" s="112">
        <v>9574.2383831850984</v>
      </c>
      <c r="F40" s="112">
        <v>8893.2504009800159</v>
      </c>
      <c r="G40" s="112">
        <v>7838.0257799054771</v>
      </c>
      <c r="H40" s="112">
        <v>7420.9467746483624</v>
      </c>
      <c r="I40" s="112">
        <v>7058.3167256911311</v>
      </c>
    </row>
  </sheetData>
  <mergeCells count="2">
    <mergeCell ref="D31:I31"/>
    <mergeCell ref="B2:H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1"/>
  <sheetViews>
    <sheetView showGridLines="0" workbookViewId="0">
      <selection activeCell="H21" sqref="H21"/>
    </sheetView>
  </sheetViews>
  <sheetFormatPr defaultRowHeight="14.4" x14ac:dyDescent="0.3"/>
  <cols>
    <col min="1" max="1" width="1.88671875" customWidth="1"/>
    <col min="2" max="2" width="27.44140625" customWidth="1"/>
    <col min="3" max="3" width="13.6640625" bestFit="1" customWidth="1"/>
    <col min="4" max="4" width="10.77734375" customWidth="1"/>
    <col min="5" max="5" width="13.77734375" customWidth="1"/>
    <col min="6" max="6" width="14" customWidth="1"/>
    <col min="7" max="7" width="17.5546875" customWidth="1"/>
    <col min="8" max="8" width="12.77734375" customWidth="1"/>
    <col min="9" max="9" width="11.109375" customWidth="1"/>
    <col min="10" max="10" width="13.88671875" customWidth="1"/>
    <col min="11" max="11" width="11.33203125" customWidth="1"/>
    <col min="12" max="12" width="10.21875" customWidth="1"/>
    <col min="13" max="13" width="13.88671875" customWidth="1"/>
    <col min="14" max="14" width="11.44140625" customWidth="1"/>
  </cols>
  <sheetData>
    <row r="2" spans="2:14" ht="18" x14ac:dyDescent="0.35">
      <c r="B2" s="144" t="s">
        <v>285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</row>
    <row r="3" spans="2:14" s="12" customFormat="1" ht="18" x14ac:dyDescent="0.35">
      <c r="B3" s="135" t="s">
        <v>183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</row>
    <row r="4" spans="2:14" s="12" customFormat="1" x14ac:dyDescent="0.3">
      <c r="B4" s="8"/>
      <c r="C4" s="8"/>
      <c r="D4" s="8" t="s">
        <v>272</v>
      </c>
      <c r="E4" s="8"/>
      <c r="F4" s="8"/>
      <c r="G4" s="8"/>
      <c r="H4" s="8"/>
      <c r="I4" s="8"/>
      <c r="J4" s="8" t="s">
        <v>273</v>
      </c>
      <c r="K4" s="8"/>
      <c r="L4" s="8"/>
      <c r="M4" s="8" t="s">
        <v>274</v>
      </c>
      <c r="N4" s="8"/>
    </row>
    <row r="5" spans="2:14" x14ac:dyDescent="0.3">
      <c r="B5" s="132" t="s">
        <v>262</v>
      </c>
      <c r="C5" s="70" t="s">
        <v>271</v>
      </c>
      <c r="D5" s="70" t="s">
        <v>263</v>
      </c>
      <c r="E5" s="70" t="s">
        <v>264</v>
      </c>
      <c r="F5" s="70" t="s">
        <v>265</v>
      </c>
      <c r="G5" s="70" t="s">
        <v>266</v>
      </c>
      <c r="H5" s="70" t="s">
        <v>267</v>
      </c>
      <c r="I5" s="70" t="s">
        <v>12</v>
      </c>
      <c r="J5" s="70" t="s">
        <v>63</v>
      </c>
      <c r="K5" s="70" t="s">
        <v>268</v>
      </c>
      <c r="L5" s="70" t="s">
        <v>269</v>
      </c>
      <c r="M5" s="70" t="s">
        <v>270</v>
      </c>
      <c r="N5" s="70" t="s">
        <v>275</v>
      </c>
    </row>
    <row r="6" spans="2:14" x14ac:dyDescent="0.3">
      <c r="B6" s="135" t="s">
        <v>276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2:14" x14ac:dyDescent="0.3">
      <c r="B7" s="133" t="str">
        <f>WACC!B9</f>
        <v>M &amp; M</v>
      </c>
      <c r="C7" s="134">
        <f>IFERROR('Analysis - Comps Data'!D4,0)</f>
        <v>3031.2</v>
      </c>
      <c r="D7" s="134">
        <f>E7/C7</f>
        <v>124.40785497492743</v>
      </c>
      <c r="E7" s="134">
        <f>IFERROR('Analysis - Comps Data'!E4,0)</f>
        <v>377105.09</v>
      </c>
      <c r="F7" s="134">
        <f>IFERROR('Analysis - Comps Data'!I4,0)</f>
        <v>126709.33</v>
      </c>
      <c r="G7" s="134">
        <f>IFERROR('Analysis - Comps Data'!J4,0)</f>
        <v>22265.37</v>
      </c>
      <c r="H7" s="134">
        <f>E7+F7-G7</f>
        <v>481549.05000000005</v>
      </c>
      <c r="I7" s="134">
        <f>IFERROR('Analysis - Comps Data'!G4,0)</f>
        <v>186333.92</v>
      </c>
      <c r="J7" s="134">
        <f>IFERROR('Analysis - Comps Data'!N4,0)</f>
        <v>38942</v>
      </c>
      <c r="K7" s="134">
        <f>IFERROR('Analysis - Comps Data'!O4,0)</f>
        <v>16903.650000000001</v>
      </c>
      <c r="L7" s="139">
        <f>H7/I7</f>
        <v>2.5843338131887097</v>
      </c>
      <c r="M7" s="139">
        <f>H7/J7</f>
        <v>12.365801705099893</v>
      </c>
      <c r="N7" s="140">
        <f>IFERROR('Analysis - Comps Data'!M4,0)</f>
        <v>23.37</v>
      </c>
    </row>
    <row r="8" spans="2:14" x14ac:dyDescent="0.3">
      <c r="B8" s="133" t="str">
        <f>WACC!B10</f>
        <v>Hyundai Motor I</v>
      </c>
      <c r="C8" s="134">
        <f>IFERROR('Analysis - Comps Data'!D5,0)</f>
        <v>1994.7</v>
      </c>
      <c r="D8" s="134">
        <f t="shared" ref="D8:D10" si="0">E8/C8</f>
        <v>81.236015440918436</v>
      </c>
      <c r="E8" s="134">
        <f>IFERROR('Analysis - Comps Data'!E5,0)</f>
        <v>162041.48000000001</v>
      </c>
      <c r="F8" s="134">
        <f>IFERROR('Analysis - Comps Data'!I5,0)</f>
        <v>856.56</v>
      </c>
      <c r="G8" s="134">
        <f>IFERROR('Analysis - Comps Data'!J5,0)</f>
        <v>6312.16</v>
      </c>
      <c r="H8" s="134">
        <f t="shared" ref="H8:H10" si="1">E8+F8-G8</f>
        <v>156585.88</v>
      </c>
      <c r="I8" s="134">
        <f>IFERROR('Analysis - Comps Data'!G5,0)</f>
        <v>68100.58</v>
      </c>
      <c r="J8" s="134">
        <f>IFERROR('Analysis - Comps Data'!N5,0)</f>
        <v>17973</v>
      </c>
      <c r="K8" s="134">
        <f>IFERROR('Analysis - Comps Data'!O5,0)</f>
        <v>5683.48</v>
      </c>
      <c r="L8" s="139">
        <f t="shared" ref="L8:L10" si="2">H8/I8</f>
        <v>2.2993325460664211</v>
      </c>
      <c r="M8" s="139">
        <f t="shared" ref="M8:M10" si="3">H8/J8</f>
        <v>8.7122839815278468</v>
      </c>
      <c r="N8" s="140">
        <f>IFERROR('Analysis - Comps Data'!M5,0)</f>
        <v>28.49</v>
      </c>
    </row>
    <row r="9" spans="2:14" x14ac:dyDescent="0.3">
      <c r="B9" s="133" t="str">
        <f>WACC!B11</f>
        <v>Tata Motors PVeh</v>
      </c>
      <c r="C9" s="134">
        <f>IFERROR('Analysis - Comps Data'!D6,0)</f>
        <v>324.55</v>
      </c>
      <c r="D9" s="134">
        <f t="shared" si="0"/>
        <v>368.23774456940379</v>
      </c>
      <c r="E9" s="134">
        <f>IFERROR('Analysis - Comps Data'!E6,0)</f>
        <v>119511.56</v>
      </c>
      <c r="F9" s="134">
        <f>IFERROR('Analysis - Comps Data'!I6,0)</f>
        <v>67258</v>
      </c>
      <c r="G9" s="134">
        <f>IFERROR('Analysis - Comps Data'!J6,0)</f>
        <v>27592</v>
      </c>
      <c r="H9" s="134">
        <f t="shared" si="1"/>
        <v>159177.56</v>
      </c>
      <c r="I9" s="134">
        <f>IFERROR('Analysis - Comps Data'!G6,0)</f>
        <v>349637</v>
      </c>
      <c r="J9" s="134">
        <f>IFERROR('Analysis - Comps Data'!N6,0)</f>
        <v>12543</v>
      </c>
      <c r="K9" s="134">
        <f>IFERROR('Analysis - Comps Data'!O6,0)</f>
        <v>85324</v>
      </c>
      <c r="L9" s="139">
        <f t="shared" si="2"/>
        <v>0.4552652036254744</v>
      </c>
      <c r="M9" s="139">
        <f t="shared" si="3"/>
        <v>12.690549310372319</v>
      </c>
      <c r="N9" s="140">
        <f>IFERROR('Analysis - Comps Data'!M6,0)</f>
        <v>19.3</v>
      </c>
    </row>
    <row r="10" spans="2:14" x14ac:dyDescent="0.3">
      <c r="B10" s="133" t="str">
        <f>WACC!B12</f>
        <v>Force Motors</v>
      </c>
      <c r="C10" s="134">
        <f>IFERROR('Analysis - Comps Data'!D7,0)</f>
        <v>21560</v>
      </c>
      <c r="D10" s="134">
        <f t="shared" si="0"/>
        <v>1.3173492578849721</v>
      </c>
      <c r="E10" s="134">
        <f>IFERROR('Analysis - Comps Data'!E7,0)</f>
        <v>28402.05</v>
      </c>
      <c r="F10" s="134">
        <f>IFERROR('Analysis - Comps Data'!I7,0)</f>
        <v>0</v>
      </c>
      <c r="G10" s="134">
        <f>IFERROR('Analysis - Comps Data'!J7,0)</f>
        <v>504.87</v>
      </c>
      <c r="H10" s="134">
        <f t="shared" si="1"/>
        <v>27897.18</v>
      </c>
      <c r="I10" s="134">
        <f>IFERROR('Analysis - Comps Data'!G7,0)</f>
        <v>8863.2199999999993</v>
      </c>
      <c r="J10" s="134">
        <f>IFERROR('Analysis - Comps Data'!N7,0)</f>
        <v>2322</v>
      </c>
      <c r="K10" s="134">
        <f>IFERROR('Analysis - Comps Data'!O7,0)</f>
        <v>1367.95</v>
      </c>
      <c r="L10" s="139">
        <f t="shared" si="2"/>
        <v>3.1475220066747753</v>
      </c>
      <c r="M10" s="139">
        <f t="shared" si="3"/>
        <v>12.014289405684755</v>
      </c>
      <c r="N10" s="140">
        <f>IFERROR('Analysis - Comps Data'!M7,0)</f>
        <v>28.74</v>
      </c>
    </row>
    <row r="11" spans="2:14" x14ac:dyDescent="0.3">
      <c r="L11" s="140"/>
      <c r="M11" s="140"/>
      <c r="N11" s="140"/>
    </row>
    <row r="12" spans="2:14" x14ac:dyDescent="0.3">
      <c r="K12" s="80" t="s">
        <v>198</v>
      </c>
      <c r="L12" s="141">
        <f>AVERAGE(L7:L10)</f>
        <v>2.1216133923888449</v>
      </c>
      <c r="M12" s="141">
        <f>AVERAGE(M7:M10)</f>
        <v>11.445731100671203</v>
      </c>
      <c r="N12" s="141">
        <f>AVERAGE(N7:N10)</f>
        <v>24.974999999999998</v>
      </c>
    </row>
    <row r="13" spans="2:14" x14ac:dyDescent="0.3">
      <c r="K13" s="83" t="s">
        <v>151</v>
      </c>
      <c r="L13" s="142">
        <f>MEDIAN(L7:L10)</f>
        <v>2.4418331796275652</v>
      </c>
      <c r="M13" s="142">
        <f>MEDIAN(M7:M10)</f>
        <v>12.190045555392324</v>
      </c>
      <c r="N13" s="142">
        <f>MEDIAN(N7:N10)</f>
        <v>25.93</v>
      </c>
    </row>
    <row r="14" spans="2:14" x14ac:dyDescent="0.3">
      <c r="L14" s="140"/>
      <c r="M14" s="140"/>
      <c r="N14" s="140"/>
    </row>
    <row r="15" spans="2:14" x14ac:dyDescent="0.3">
      <c r="B15" t="s">
        <v>225</v>
      </c>
      <c r="C15" s="134">
        <f>IFERROR('Analysis - Comps Data'!D3,0)</f>
        <v>13011</v>
      </c>
      <c r="D15" s="134">
        <f>E15/C15</f>
        <v>31.42768349857813</v>
      </c>
      <c r="E15" s="134">
        <f>IFERROR('Analysis - Comps Data'!E3,0)</f>
        <v>408905.59</v>
      </c>
      <c r="F15" s="134">
        <f>IFERROR('Analysis - Comps Data'!I3,0)</f>
        <v>99.9</v>
      </c>
      <c r="G15" s="134">
        <f>IFERROR('Analysis - Comps Data'!J3,0)</f>
        <v>668.5</v>
      </c>
      <c r="H15" s="134">
        <f>E15+F15-G15</f>
        <v>408336.99000000005</v>
      </c>
      <c r="I15" s="134">
        <f>IFERROR('Analysis - Comps Data'!G3,0)</f>
        <v>171773.6</v>
      </c>
      <c r="J15" s="134">
        <f>IFERROR('Analysis - Comps Data'!N3,0)</f>
        <v>4265</v>
      </c>
      <c r="K15" s="134">
        <f>IFERROR('Analysis - Comps Data'!O3,0)</f>
        <v>14931.6</v>
      </c>
      <c r="L15" s="139">
        <f>H15/I15</f>
        <v>2.3771813014339807</v>
      </c>
      <c r="M15" s="139">
        <f>H15/J15</f>
        <v>95.741381008206346</v>
      </c>
      <c r="N15" s="139">
        <f>IFERROR('Analysis - Comps Data'!M3,0)</f>
        <v>26.83</v>
      </c>
    </row>
    <row r="17" spans="2:8" x14ac:dyDescent="0.3">
      <c r="B17" s="132" t="s">
        <v>280</v>
      </c>
      <c r="C17" s="70" t="s">
        <v>281</v>
      </c>
      <c r="D17" s="70" t="s">
        <v>267</v>
      </c>
      <c r="E17" s="70" t="s">
        <v>282</v>
      </c>
      <c r="F17" s="70" t="s">
        <v>248</v>
      </c>
      <c r="G17" s="70" t="s">
        <v>263</v>
      </c>
      <c r="H17" s="70" t="s">
        <v>283</v>
      </c>
    </row>
    <row r="19" spans="2:8" x14ac:dyDescent="0.3">
      <c r="B19" s="133" t="s">
        <v>269</v>
      </c>
      <c r="C19" s="138">
        <f>L13</f>
        <v>2.4418331796275652</v>
      </c>
      <c r="D19" s="134">
        <f>I15*C19</f>
        <v>419442.47586407355</v>
      </c>
      <c r="E19" s="134">
        <f>$F$15-$G$15</f>
        <v>-568.6</v>
      </c>
      <c r="F19" s="134">
        <f>D19-E19</f>
        <v>420011.07586407353</v>
      </c>
      <c r="G19" s="134">
        <f>$D$15</f>
        <v>31.42768349857813</v>
      </c>
      <c r="H19" s="134">
        <f>F19/G19</f>
        <v>13364.366351820869</v>
      </c>
    </row>
    <row r="20" spans="2:8" x14ac:dyDescent="0.3">
      <c r="B20" s="133" t="s">
        <v>270</v>
      </c>
      <c r="C20" s="138">
        <f>M13</f>
        <v>12.190045555392324</v>
      </c>
      <c r="D20" s="134">
        <f>J15*C20</f>
        <v>51990.544293748258</v>
      </c>
      <c r="E20" s="134">
        <f>$F$15-$G$15</f>
        <v>-568.6</v>
      </c>
      <c r="F20" s="134">
        <f t="shared" ref="F20" si="4">D20-E20</f>
        <v>52559.144293748257</v>
      </c>
      <c r="G20" s="134">
        <f>$D$15</f>
        <v>31.42768349857813</v>
      </c>
      <c r="H20" s="134">
        <f t="shared" ref="H20:H21" si="5">F20/G20</f>
        <v>1672.3836580614084</v>
      </c>
    </row>
    <row r="21" spans="2:8" x14ac:dyDescent="0.3">
      <c r="B21" s="133" t="s">
        <v>284</v>
      </c>
      <c r="C21" s="138">
        <f>N13</f>
        <v>25.93</v>
      </c>
      <c r="D21" s="134">
        <f>F21+E21</f>
        <v>386607.788</v>
      </c>
      <c r="E21" s="134">
        <f>$F$15-$G$15</f>
        <v>-568.6</v>
      </c>
      <c r="F21" s="134">
        <f>C21*K15</f>
        <v>387176.38799999998</v>
      </c>
      <c r="G21" s="134">
        <f>$D$15</f>
        <v>31.42768349857813</v>
      </c>
      <c r="H21" s="134">
        <f t="shared" si="5"/>
        <v>12319.596766255994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"/>
  <sheetViews>
    <sheetView workbookViewId="0">
      <selection activeCell="F9" sqref="F9"/>
    </sheetView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93"/>
  <sheetViews>
    <sheetView zoomScale="110" zoomScaleNormal="110" workbookViewId="0">
      <selection activeCell="B74" sqref="B74"/>
    </sheetView>
  </sheetViews>
  <sheetFormatPr defaultColWidth="8.77734375" defaultRowHeight="14.4" x14ac:dyDescent="0.3"/>
  <cols>
    <col min="1" max="1" width="27.6640625" style="2" bestFit="1" customWidth="1"/>
    <col min="2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1</v>
      </c>
      <c r="E1" s="150" t="str">
        <f>IF(B2&lt;&gt;B3, "A NEW VERSION OF THE WORKSHEET IS AVAILABLE", "")</f>
        <v/>
      </c>
      <c r="F1" s="150"/>
      <c r="G1" s="150"/>
      <c r="H1" s="150"/>
      <c r="I1" s="150"/>
      <c r="J1" s="150"/>
      <c r="K1" s="150"/>
    </row>
    <row r="2" spans="1:11" x14ac:dyDescent="0.3">
      <c r="A2" s="1" t="s">
        <v>2</v>
      </c>
      <c r="B2" s="2">
        <v>2.1</v>
      </c>
      <c r="E2" s="151" t="s">
        <v>3</v>
      </c>
      <c r="F2" s="151"/>
      <c r="G2" s="151"/>
      <c r="H2" s="151"/>
      <c r="I2" s="151"/>
      <c r="J2" s="151"/>
      <c r="K2" s="151"/>
    </row>
    <row r="3" spans="1:11" x14ac:dyDescent="0.3">
      <c r="A3" s="1" t="s">
        <v>4</v>
      </c>
      <c r="B3" s="2">
        <v>2.1</v>
      </c>
    </row>
    <row r="4" spans="1:11" x14ac:dyDescent="0.3">
      <c r="A4" s="1"/>
    </row>
    <row r="5" spans="1:11" x14ac:dyDescent="0.3">
      <c r="A5" s="1" t="s">
        <v>5</v>
      </c>
    </row>
    <row r="6" spans="1:11" x14ac:dyDescent="0.3">
      <c r="A6" s="2" t="s">
        <v>6</v>
      </c>
      <c r="B6" s="2">
        <f>IF(B9&gt;0, B9/B8, 0)</f>
        <v>31.440257080302281</v>
      </c>
    </row>
    <row r="7" spans="1:11" x14ac:dyDescent="0.3">
      <c r="A7" s="2" t="s">
        <v>7</v>
      </c>
      <c r="B7">
        <v>5</v>
      </c>
    </row>
    <row r="8" spans="1:11" x14ac:dyDescent="0.3">
      <c r="A8" s="2" t="s">
        <v>8</v>
      </c>
      <c r="B8">
        <v>14159</v>
      </c>
    </row>
    <row r="9" spans="1:11" x14ac:dyDescent="0.3">
      <c r="A9" s="2" t="s">
        <v>9</v>
      </c>
      <c r="B9">
        <v>445162.6</v>
      </c>
    </row>
    <row r="15" spans="1:11" x14ac:dyDescent="0.3">
      <c r="A15" s="1" t="s">
        <v>10</v>
      </c>
    </row>
    <row r="16" spans="1:11" s="5" customFormat="1" x14ac:dyDescent="0.3">
      <c r="A16" s="3" t="s">
        <v>11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6" customFormat="1" x14ac:dyDescent="0.3">
      <c r="A17" s="6" t="s">
        <v>12</v>
      </c>
      <c r="B17">
        <v>57589</v>
      </c>
      <c r="C17">
        <v>68085</v>
      </c>
      <c r="D17">
        <v>79809.399999999994</v>
      </c>
      <c r="E17">
        <v>86068.5</v>
      </c>
      <c r="F17">
        <v>75660</v>
      </c>
      <c r="G17">
        <v>70372</v>
      </c>
      <c r="H17">
        <v>88329.8</v>
      </c>
      <c r="I17">
        <v>117571.3</v>
      </c>
      <c r="J17">
        <v>141858.20000000001</v>
      </c>
      <c r="K17">
        <v>152913</v>
      </c>
    </row>
    <row r="18" spans="1:11" s="6" customFormat="1" x14ac:dyDescent="0.3">
      <c r="A18" s="2" t="s">
        <v>13</v>
      </c>
      <c r="B18">
        <v>38701.199999999997</v>
      </c>
      <c r="C18">
        <v>47121.5</v>
      </c>
      <c r="D18">
        <v>54945.3</v>
      </c>
      <c r="E18">
        <v>59346.6</v>
      </c>
      <c r="F18">
        <v>53402</v>
      </c>
      <c r="G18">
        <v>50550.5</v>
      </c>
      <c r="H18">
        <v>66137.100000000006</v>
      </c>
      <c r="I18">
        <v>86654.7</v>
      </c>
      <c r="J18">
        <v>100119.5</v>
      </c>
      <c r="K18">
        <v>108718.3</v>
      </c>
    </row>
    <row r="19" spans="1:11" s="6" customFormat="1" x14ac:dyDescent="0.3">
      <c r="A19" s="2" t="s">
        <v>14</v>
      </c>
      <c r="B19">
        <v>-4.8</v>
      </c>
      <c r="C19">
        <v>379.3</v>
      </c>
      <c r="D19">
        <v>-40.799999999999997</v>
      </c>
      <c r="E19">
        <v>-211.6</v>
      </c>
      <c r="F19">
        <v>238.7</v>
      </c>
      <c r="G19">
        <v>-273.60000000000002</v>
      </c>
      <c r="H19">
        <v>93.1</v>
      </c>
      <c r="I19">
        <v>403.9</v>
      </c>
      <c r="J19">
        <v>378.6</v>
      </c>
      <c r="K19">
        <v>1227.5</v>
      </c>
    </row>
    <row r="20" spans="1:11" s="6" customFormat="1" x14ac:dyDescent="0.3">
      <c r="A20" s="2" t="s">
        <v>15</v>
      </c>
      <c r="B20">
        <v>694.1</v>
      </c>
      <c r="C20">
        <v>518.6</v>
      </c>
      <c r="D20">
        <v>673.4</v>
      </c>
      <c r="E20">
        <v>863.3</v>
      </c>
      <c r="F20">
        <v>699.5</v>
      </c>
      <c r="G20">
        <v>476.6</v>
      </c>
      <c r="H20">
        <v>630.9</v>
      </c>
      <c r="I20">
        <v>790</v>
      </c>
      <c r="J20">
        <v>1033.4000000000001</v>
      </c>
      <c r="K20">
        <v>1052.5999999999999</v>
      </c>
    </row>
    <row r="21" spans="1:11" s="6" customFormat="1" x14ac:dyDescent="0.3">
      <c r="A21" s="2" t="s">
        <v>16</v>
      </c>
      <c r="B21">
        <v>427.8</v>
      </c>
      <c r="C21">
        <v>382.9</v>
      </c>
      <c r="D21">
        <v>462.1</v>
      </c>
      <c r="E21">
        <v>475.7</v>
      </c>
      <c r="F21">
        <v>378.1</v>
      </c>
      <c r="G21">
        <v>683.3</v>
      </c>
      <c r="H21">
        <v>852.5</v>
      </c>
      <c r="I21">
        <v>1120.7</v>
      </c>
      <c r="J21">
        <v>939.3</v>
      </c>
      <c r="K21">
        <v>1994.4</v>
      </c>
    </row>
    <row r="22" spans="1:11" s="6" customFormat="1" x14ac:dyDescent="0.3">
      <c r="A22" s="2" t="s">
        <v>17</v>
      </c>
      <c r="B22">
        <v>2000.3</v>
      </c>
      <c r="C22">
        <v>2360.3000000000002</v>
      </c>
      <c r="D22">
        <v>2863.4</v>
      </c>
      <c r="E22">
        <v>3285</v>
      </c>
      <c r="F22">
        <v>3416.2</v>
      </c>
      <c r="G22">
        <v>3431.6</v>
      </c>
      <c r="H22">
        <v>4051.4</v>
      </c>
      <c r="I22">
        <v>4634.6000000000004</v>
      </c>
      <c r="J22">
        <v>6301.6</v>
      </c>
      <c r="K22">
        <v>7026</v>
      </c>
    </row>
    <row r="23" spans="1:11" s="6" customFormat="1" x14ac:dyDescent="0.3">
      <c r="A23" s="2" t="s">
        <v>18</v>
      </c>
      <c r="B23">
        <v>5367.3</v>
      </c>
      <c r="C23">
        <v>6111.3</v>
      </c>
      <c r="D23">
        <v>6755.3</v>
      </c>
      <c r="E23">
        <v>8390.2999999999993</v>
      </c>
      <c r="F23">
        <v>8456.2999999999993</v>
      </c>
      <c r="G23">
        <v>7924</v>
      </c>
      <c r="H23">
        <v>9119.1</v>
      </c>
      <c r="I23">
        <v>11695</v>
      </c>
      <c r="J23">
        <v>12082.6</v>
      </c>
      <c r="K23">
        <v>11523.3</v>
      </c>
    </row>
    <row r="24" spans="1:11" s="6" customFormat="1" x14ac:dyDescent="0.3">
      <c r="A24" s="2" t="s">
        <v>19</v>
      </c>
      <c r="B24">
        <v>1369.4</v>
      </c>
      <c r="C24">
        <v>1548.4</v>
      </c>
      <c r="D24">
        <v>1951.2</v>
      </c>
      <c r="E24">
        <v>2439.6999999999998</v>
      </c>
      <c r="F24">
        <v>2191.6</v>
      </c>
      <c r="G24">
        <v>1621.8</v>
      </c>
      <c r="H24">
        <v>1879.9</v>
      </c>
      <c r="I24">
        <v>2051</v>
      </c>
      <c r="J24">
        <v>3134.1</v>
      </c>
      <c r="K24">
        <v>3602.3</v>
      </c>
    </row>
    <row r="25" spans="1:11" s="6" customFormat="1" x14ac:dyDescent="0.3">
      <c r="A25" s="6" t="s">
        <v>20</v>
      </c>
      <c r="B25">
        <v>1464.1</v>
      </c>
      <c r="C25">
        <v>2399.1999999999998</v>
      </c>
      <c r="D25">
        <v>2154.6</v>
      </c>
      <c r="E25">
        <v>2664.2</v>
      </c>
      <c r="F25">
        <v>3410.4</v>
      </c>
      <c r="G25">
        <v>3046.3</v>
      </c>
      <c r="H25">
        <v>1860.8</v>
      </c>
      <c r="I25">
        <v>2306.6</v>
      </c>
      <c r="J25">
        <v>4247.6000000000004</v>
      </c>
      <c r="K25">
        <v>5198.8</v>
      </c>
    </row>
    <row r="26" spans="1:11" s="6" customFormat="1" x14ac:dyDescent="0.3">
      <c r="A26" s="6" t="s">
        <v>21</v>
      </c>
      <c r="B26">
        <v>2821.8</v>
      </c>
      <c r="C26">
        <v>2603.9</v>
      </c>
      <c r="D26">
        <v>2759.8</v>
      </c>
      <c r="E26">
        <v>3020.8</v>
      </c>
      <c r="F26">
        <v>3528.4</v>
      </c>
      <c r="G26">
        <v>3034.1</v>
      </c>
      <c r="H26">
        <v>2789</v>
      </c>
      <c r="I26">
        <v>2825.7</v>
      </c>
      <c r="J26">
        <v>5255.8</v>
      </c>
      <c r="K26">
        <v>5608.2</v>
      </c>
    </row>
    <row r="27" spans="1:11" s="6" customFormat="1" x14ac:dyDescent="0.3">
      <c r="A27" s="6" t="s">
        <v>22</v>
      </c>
      <c r="B27">
        <v>81.7</v>
      </c>
      <c r="C27">
        <v>89.4</v>
      </c>
      <c r="D27">
        <v>345.8</v>
      </c>
      <c r="E27">
        <v>75.900000000000006</v>
      </c>
      <c r="F27">
        <v>134.19999999999999</v>
      </c>
      <c r="G27">
        <v>101.8</v>
      </c>
      <c r="H27">
        <v>126.6</v>
      </c>
      <c r="I27">
        <v>187</v>
      </c>
      <c r="J27">
        <v>193.6</v>
      </c>
      <c r="K27">
        <v>194.2</v>
      </c>
    </row>
    <row r="28" spans="1:11" s="6" customFormat="1" x14ac:dyDescent="0.3">
      <c r="A28" s="6" t="s">
        <v>23</v>
      </c>
      <c r="B28">
        <v>7584.7</v>
      </c>
      <c r="C28">
        <v>10127.200000000001</v>
      </c>
      <c r="D28">
        <v>11166.9</v>
      </c>
      <c r="E28">
        <v>10623.8</v>
      </c>
      <c r="F28">
        <v>7102.8</v>
      </c>
      <c r="G28">
        <v>5321</v>
      </c>
      <c r="H28">
        <v>4697.2</v>
      </c>
      <c r="I28">
        <v>10323.1</v>
      </c>
      <c r="J28">
        <v>17424.5</v>
      </c>
      <c r="K28">
        <v>19620</v>
      </c>
    </row>
    <row r="29" spans="1:11" s="6" customFormat="1" x14ac:dyDescent="0.3">
      <c r="A29" s="6" t="s">
        <v>24</v>
      </c>
      <c r="B29">
        <v>2087.5</v>
      </c>
      <c r="C29">
        <v>2616.1999999999998</v>
      </c>
      <c r="D29">
        <v>3286.2</v>
      </c>
      <c r="E29">
        <v>2973.2</v>
      </c>
      <c r="F29">
        <v>1425.2</v>
      </c>
      <c r="G29">
        <v>931.9</v>
      </c>
      <c r="H29">
        <v>817.7</v>
      </c>
      <c r="I29">
        <v>2112.1</v>
      </c>
      <c r="J29">
        <v>3936.3</v>
      </c>
      <c r="K29">
        <v>5119.8</v>
      </c>
    </row>
    <row r="30" spans="1:11" s="6" customFormat="1" x14ac:dyDescent="0.3">
      <c r="A30" s="6" t="s">
        <v>25</v>
      </c>
      <c r="B30">
        <v>5497.2</v>
      </c>
      <c r="C30">
        <v>7509.9</v>
      </c>
      <c r="D30">
        <v>7880</v>
      </c>
      <c r="E30">
        <v>7649.1</v>
      </c>
      <c r="F30">
        <v>5676</v>
      </c>
      <c r="G30">
        <v>4389.1000000000004</v>
      </c>
      <c r="H30">
        <v>3879.5</v>
      </c>
      <c r="I30">
        <v>8211</v>
      </c>
      <c r="J30">
        <v>13488.2</v>
      </c>
      <c r="K30">
        <v>14500.2</v>
      </c>
    </row>
    <row r="31" spans="1:11" s="6" customFormat="1" x14ac:dyDescent="0.3">
      <c r="A31" s="6" t="s">
        <v>26</v>
      </c>
      <c r="B31">
        <v>1057</v>
      </c>
      <c r="C31">
        <v>2265</v>
      </c>
      <c r="D31">
        <v>2416</v>
      </c>
      <c r="E31">
        <v>2416</v>
      </c>
      <c r="F31">
        <v>1812</v>
      </c>
      <c r="G31">
        <v>1359</v>
      </c>
      <c r="H31">
        <v>1812</v>
      </c>
      <c r="I31">
        <v>2718</v>
      </c>
      <c r="J31">
        <v>3930</v>
      </c>
      <c r="K31">
        <v>4244.3999999999996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27</v>
      </c>
    </row>
    <row r="41" spans="1:11" s="5" customFormat="1" x14ac:dyDescent="0.3">
      <c r="A41" s="3" t="s">
        <v>11</v>
      </c>
      <c r="B41" s="4">
        <v>45199</v>
      </c>
      <c r="C41" s="4">
        <v>45291</v>
      </c>
      <c r="D41" s="4">
        <v>45382</v>
      </c>
      <c r="E41" s="4">
        <v>45473</v>
      </c>
      <c r="F41" s="4">
        <v>45565</v>
      </c>
      <c r="G41" s="4">
        <v>45657</v>
      </c>
      <c r="H41" s="4">
        <v>45747</v>
      </c>
      <c r="I41" s="4">
        <v>45838</v>
      </c>
      <c r="J41" s="4">
        <v>45930</v>
      </c>
      <c r="K41" s="4">
        <v>46022</v>
      </c>
    </row>
    <row r="42" spans="1:11" s="6" customFormat="1" x14ac:dyDescent="0.3">
      <c r="A42" s="6" t="s">
        <v>12</v>
      </c>
      <c r="B42">
        <v>37339.4</v>
      </c>
      <c r="C42">
        <v>33512.800000000003</v>
      </c>
      <c r="D42">
        <v>38471.199999999997</v>
      </c>
      <c r="E42">
        <v>35779.4</v>
      </c>
      <c r="F42">
        <v>37449.199999999997</v>
      </c>
      <c r="G42">
        <v>38764.300000000003</v>
      </c>
      <c r="H42">
        <v>40920.1</v>
      </c>
      <c r="I42">
        <v>38605.199999999997</v>
      </c>
      <c r="J42">
        <v>42344.2</v>
      </c>
      <c r="K42">
        <v>49904.1</v>
      </c>
    </row>
    <row r="43" spans="1:11" s="6" customFormat="1" x14ac:dyDescent="0.3">
      <c r="A43" s="6" t="s">
        <v>28</v>
      </c>
      <c r="B43">
        <v>32027.9</v>
      </c>
      <c r="C43">
        <v>29072.799999999999</v>
      </c>
      <c r="D43">
        <v>33250.1</v>
      </c>
      <c r="E43">
        <v>30672.799999999999</v>
      </c>
      <c r="F43">
        <v>32450.400000000001</v>
      </c>
      <c r="G43">
        <v>33687.800000000003</v>
      </c>
      <c r="H43">
        <v>36076.1</v>
      </c>
      <c r="I43">
        <v>33982.6</v>
      </c>
      <c r="J43">
        <v>37258.199999999997</v>
      </c>
      <c r="K43">
        <v>44331</v>
      </c>
    </row>
    <row r="44" spans="1:11" s="6" customFormat="1" x14ac:dyDescent="0.3">
      <c r="A44" s="6" t="s">
        <v>20</v>
      </c>
      <c r="B44">
        <v>957.8</v>
      </c>
      <c r="C44">
        <v>1052.9000000000001</v>
      </c>
      <c r="D44">
        <v>1261</v>
      </c>
      <c r="E44">
        <v>1118.0999999999999</v>
      </c>
      <c r="F44">
        <v>1570.5</v>
      </c>
      <c r="G44">
        <v>1124.8</v>
      </c>
      <c r="H44">
        <v>1583.1</v>
      </c>
      <c r="I44">
        <v>1923.7</v>
      </c>
      <c r="J44">
        <v>1013.5</v>
      </c>
      <c r="K44">
        <v>1140.5</v>
      </c>
    </row>
    <row r="45" spans="1:11" s="6" customFormat="1" x14ac:dyDescent="0.3">
      <c r="A45" s="6" t="s">
        <v>21</v>
      </c>
      <c r="B45">
        <v>1341.9</v>
      </c>
      <c r="C45">
        <v>1301.5</v>
      </c>
      <c r="D45">
        <v>1298.3</v>
      </c>
      <c r="E45">
        <v>1331.7</v>
      </c>
      <c r="F45">
        <v>1385.7</v>
      </c>
      <c r="G45">
        <v>1429</v>
      </c>
      <c r="H45">
        <v>1461.8</v>
      </c>
      <c r="I45">
        <v>1556</v>
      </c>
      <c r="J45">
        <v>1703</v>
      </c>
      <c r="K45">
        <v>1734.6</v>
      </c>
    </row>
    <row r="46" spans="1:11" s="6" customFormat="1" x14ac:dyDescent="0.3">
      <c r="A46" s="6" t="s">
        <v>22</v>
      </c>
      <c r="B46">
        <v>35.1</v>
      </c>
      <c r="C46">
        <v>35.799999999999997</v>
      </c>
      <c r="D46">
        <v>76.2</v>
      </c>
      <c r="E46">
        <v>57.3</v>
      </c>
      <c r="F46">
        <v>43</v>
      </c>
      <c r="G46">
        <v>46.3</v>
      </c>
      <c r="H46">
        <v>47.6</v>
      </c>
      <c r="I46">
        <v>46.8</v>
      </c>
      <c r="J46">
        <v>57.2</v>
      </c>
      <c r="K46">
        <v>61.7</v>
      </c>
    </row>
    <row r="47" spans="1:11" s="6" customFormat="1" x14ac:dyDescent="0.3">
      <c r="A47" s="6" t="s">
        <v>23</v>
      </c>
      <c r="B47">
        <v>4892.3</v>
      </c>
      <c r="C47">
        <v>4155.6000000000004</v>
      </c>
      <c r="D47">
        <v>5107.6000000000004</v>
      </c>
      <c r="E47">
        <v>4835.7</v>
      </c>
      <c r="F47">
        <v>5140.6000000000004</v>
      </c>
      <c r="G47">
        <v>4726</v>
      </c>
      <c r="H47">
        <v>4917.7</v>
      </c>
      <c r="I47">
        <v>4943.5</v>
      </c>
      <c r="J47">
        <v>4339.3</v>
      </c>
      <c r="K47">
        <v>4917.3</v>
      </c>
    </row>
    <row r="48" spans="1:11" s="6" customFormat="1" x14ac:dyDescent="0.3">
      <c r="A48" s="6" t="s">
        <v>24</v>
      </c>
      <c r="B48">
        <v>1106.0999999999999</v>
      </c>
      <c r="C48">
        <v>948.8</v>
      </c>
      <c r="D48">
        <v>1155.3</v>
      </c>
      <c r="E48">
        <v>1076</v>
      </c>
      <c r="F48">
        <v>2038.1</v>
      </c>
      <c r="G48">
        <v>999.1</v>
      </c>
      <c r="H48">
        <v>1006.6</v>
      </c>
      <c r="I48">
        <v>1151.0999999999999</v>
      </c>
      <c r="J48">
        <v>990.3</v>
      </c>
      <c r="K48">
        <v>1038.2</v>
      </c>
    </row>
    <row r="49" spans="1:11" s="6" customFormat="1" x14ac:dyDescent="0.3">
      <c r="A49" s="6" t="s">
        <v>25</v>
      </c>
      <c r="B49">
        <v>3786.2</v>
      </c>
      <c r="C49">
        <v>3206.8</v>
      </c>
      <c r="D49">
        <v>3952.3</v>
      </c>
      <c r="E49">
        <v>3759.7</v>
      </c>
      <c r="F49">
        <v>3102.5</v>
      </c>
      <c r="G49">
        <v>3726.9</v>
      </c>
      <c r="H49">
        <v>3911.1</v>
      </c>
      <c r="I49">
        <v>3792.4</v>
      </c>
      <c r="J49">
        <v>3349</v>
      </c>
      <c r="K49">
        <v>3879.1</v>
      </c>
    </row>
    <row r="50" spans="1:11" x14ac:dyDescent="0.3">
      <c r="A50" s="6" t="s">
        <v>29</v>
      </c>
      <c r="B50">
        <v>5311.5</v>
      </c>
      <c r="C50">
        <v>4440</v>
      </c>
      <c r="D50">
        <v>5221.1000000000004</v>
      </c>
      <c r="E50">
        <v>5106.6000000000004</v>
      </c>
      <c r="F50">
        <v>4998.8</v>
      </c>
      <c r="G50">
        <v>5076.5</v>
      </c>
      <c r="H50">
        <v>4844</v>
      </c>
      <c r="I50">
        <v>4622.6000000000004</v>
      </c>
      <c r="J50">
        <v>5086</v>
      </c>
      <c r="K50">
        <v>5573.1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30</v>
      </c>
    </row>
    <row r="56" spans="1:11" s="5" customFormat="1" x14ac:dyDescent="0.3">
      <c r="A56" s="3" t="s">
        <v>11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3">
      <c r="A57" s="6" t="s">
        <v>31</v>
      </c>
      <c r="B57">
        <v>151</v>
      </c>
      <c r="C57">
        <v>151</v>
      </c>
      <c r="D57">
        <v>151</v>
      </c>
      <c r="E57">
        <v>151</v>
      </c>
      <c r="F57">
        <v>151</v>
      </c>
      <c r="G57">
        <v>151</v>
      </c>
      <c r="H57">
        <v>151</v>
      </c>
      <c r="I57">
        <v>151</v>
      </c>
      <c r="J57">
        <v>157.19999999999999</v>
      </c>
      <c r="K57">
        <v>157.19999999999999</v>
      </c>
    </row>
    <row r="58" spans="1:11" x14ac:dyDescent="0.3">
      <c r="A58" s="6" t="s">
        <v>32</v>
      </c>
      <c r="B58">
        <v>30465</v>
      </c>
      <c r="C58">
        <v>36924.1</v>
      </c>
      <c r="D58">
        <v>42408.4</v>
      </c>
      <c r="E58">
        <v>46941.1</v>
      </c>
      <c r="F58">
        <v>49262</v>
      </c>
      <c r="G58">
        <v>52349.599999999999</v>
      </c>
      <c r="H58">
        <v>55182.5</v>
      </c>
      <c r="I58">
        <v>61640.3</v>
      </c>
      <c r="J58">
        <v>85478.8</v>
      </c>
      <c r="K58">
        <v>96082.7</v>
      </c>
    </row>
    <row r="59" spans="1:11" x14ac:dyDescent="0.3">
      <c r="A59" s="6" t="s">
        <v>33</v>
      </c>
      <c r="B59">
        <v>230.9</v>
      </c>
      <c r="C59">
        <v>483.6</v>
      </c>
      <c r="D59">
        <v>120.8</v>
      </c>
      <c r="E59">
        <v>159.6</v>
      </c>
      <c r="F59">
        <v>184.1</v>
      </c>
      <c r="G59">
        <v>540.9</v>
      </c>
      <c r="H59">
        <v>425.5</v>
      </c>
      <c r="I59">
        <v>1247.3</v>
      </c>
      <c r="J59">
        <v>118.6</v>
      </c>
      <c r="K59">
        <v>87</v>
      </c>
    </row>
    <row r="60" spans="1:11" x14ac:dyDescent="0.3">
      <c r="A60" s="6" t="s">
        <v>34</v>
      </c>
      <c r="B60">
        <v>11878.6</v>
      </c>
      <c r="C60">
        <v>14401.8</v>
      </c>
      <c r="D60">
        <v>17568.2</v>
      </c>
      <c r="E60">
        <v>16717</v>
      </c>
      <c r="F60">
        <v>14030.6</v>
      </c>
      <c r="G60">
        <v>18334.599999999999</v>
      </c>
      <c r="H60">
        <v>18896.5</v>
      </c>
      <c r="I60">
        <v>21558.3</v>
      </c>
      <c r="J60">
        <v>29549.5</v>
      </c>
      <c r="K60">
        <v>35644.300000000003</v>
      </c>
    </row>
    <row r="61" spans="1:11" s="1" customFormat="1" x14ac:dyDescent="0.3">
      <c r="A61" s="1" t="s">
        <v>35</v>
      </c>
      <c r="B61">
        <v>42725.5</v>
      </c>
      <c r="C61">
        <v>51960.5</v>
      </c>
      <c r="D61">
        <v>60248.4</v>
      </c>
      <c r="E61">
        <v>63968.7</v>
      </c>
      <c r="F61">
        <v>63627.7</v>
      </c>
      <c r="G61">
        <v>71376.100000000006</v>
      </c>
      <c r="H61">
        <v>74655.5</v>
      </c>
      <c r="I61">
        <v>84596.9</v>
      </c>
      <c r="J61">
        <v>115304.1</v>
      </c>
      <c r="K61">
        <v>131971.20000000001</v>
      </c>
    </row>
    <row r="62" spans="1:11" x14ac:dyDescent="0.3">
      <c r="A62" s="6" t="s">
        <v>36</v>
      </c>
      <c r="B62">
        <v>12529.6</v>
      </c>
      <c r="C62">
        <v>13310.7</v>
      </c>
      <c r="D62">
        <v>13388.8</v>
      </c>
      <c r="E62">
        <v>15437.3</v>
      </c>
      <c r="F62">
        <v>15744.4</v>
      </c>
      <c r="G62">
        <v>14988.7</v>
      </c>
      <c r="H62">
        <v>13747.2</v>
      </c>
      <c r="I62">
        <v>17830.400000000001</v>
      </c>
      <c r="J62">
        <v>27864.799999999999</v>
      </c>
      <c r="K62">
        <v>32982.699999999997</v>
      </c>
    </row>
    <row r="63" spans="1:11" x14ac:dyDescent="0.3">
      <c r="A63" s="6" t="s">
        <v>37</v>
      </c>
      <c r="B63">
        <v>1006.9</v>
      </c>
      <c r="C63">
        <v>1252.3</v>
      </c>
      <c r="D63">
        <v>2132.1</v>
      </c>
      <c r="E63">
        <v>1606.9</v>
      </c>
      <c r="F63">
        <v>1415.2</v>
      </c>
      <c r="G63">
        <v>1496.8</v>
      </c>
      <c r="H63">
        <v>2936.5</v>
      </c>
      <c r="I63">
        <v>2904.1</v>
      </c>
      <c r="J63">
        <v>7734.8</v>
      </c>
      <c r="K63">
        <v>7929</v>
      </c>
    </row>
    <row r="64" spans="1:11" x14ac:dyDescent="0.3">
      <c r="A64" s="6" t="s">
        <v>38</v>
      </c>
      <c r="B64">
        <v>20675.8</v>
      </c>
      <c r="C64">
        <v>29150.6</v>
      </c>
      <c r="D64">
        <v>36123.1</v>
      </c>
      <c r="E64">
        <v>37503.599999999999</v>
      </c>
      <c r="F64">
        <v>37488</v>
      </c>
      <c r="G64">
        <v>42944.800000000003</v>
      </c>
      <c r="H64">
        <v>42034.7</v>
      </c>
      <c r="I64">
        <v>49184.3</v>
      </c>
      <c r="J64">
        <v>57296</v>
      </c>
      <c r="K64">
        <v>66265.399999999994</v>
      </c>
    </row>
    <row r="65" spans="1:11" x14ac:dyDescent="0.3">
      <c r="A65" s="6" t="s">
        <v>39</v>
      </c>
      <c r="B65">
        <v>8513.2000000000007</v>
      </c>
      <c r="C65">
        <v>8246.9</v>
      </c>
      <c r="D65">
        <v>8604.4</v>
      </c>
      <c r="E65">
        <v>9420.9</v>
      </c>
      <c r="F65">
        <v>8980.1</v>
      </c>
      <c r="G65">
        <v>11945.8</v>
      </c>
      <c r="H65">
        <v>15937.1</v>
      </c>
      <c r="I65">
        <v>14678.1</v>
      </c>
      <c r="J65">
        <v>22408.5</v>
      </c>
      <c r="K65">
        <v>24794.1</v>
      </c>
    </row>
    <row r="66" spans="1:11" s="1" customFormat="1" x14ac:dyDescent="0.3">
      <c r="A66" s="1" t="s">
        <v>35</v>
      </c>
      <c r="B66">
        <v>42725.5</v>
      </c>
      <c r="C66">
        <v>51960.5</v>
      </c>
      <c r="D66">
        <v>60248.4</v>
      </c>
      <c r="E66">
        <v>63968.7</v>
      </c>
      <c r="F66">
        <v>63627.7</v>
      </c>
      <c r="G66">
        <v>71376.100000000006</v>
      </c>
      <c r="H66">
        <v>74655.5</v>
      </c>
      <c r="I66">
        <v>84596.9</v>
      </c>
      <c r="J66">
        <v>115304.1</v>
      </c>
      <c r="K66">
        <v>131971.20000000001</v>
      </c>
    </row>
    <row r="67" spans="1:11" s="6" customFormat="1" x14ac:dyDescent="0.3">
      <c r="A67" s="6" t="s">
        <v>40</v>
      </c>
      <c r="B67">
        <v>1323.4</v>
      </c>
      <c r="C67">
        <v>1202.5999999999999</v>
      </c>
      <c r="D67">
        <v>1465.4</v>
      </c>
      <c r="E67">
        <v>2312.8000000000002</v>
      </c>
      <c r="F67">
        <v>1977.7</v>
      </c>
      <c r="G67">
        <v>1279.9000000000001</v>
      </c>
      <c r="H67">
        <v>2034.5</v>
      </c>
      <c r="I67">
        <v>3301.4</v>
      </c>
      <c r="J67">
        <v>4596.8</v>
      </c>
      <c r="K67">
        <v>6539.7</v>
      </c>
    </row>
    <row r="68" spans="1:11" x14ac:dyDescent="0.3">
      <c r="A68" s="6" t="s">
        <v>41</v>
      </c>
      <c r="B68">
        <v>3132.6</v>
      </c>
      <c r="C68">
        <v>3263.7</v>
      </c>
      <c r="D68">
        <v>3160.2</v>
      </c>
      <c r="E68">
        <v>3322.6</v>
      </c>
      <c r="F68">
        <v>3213.9</v>
      </c>
      <c r="G68">
        <v>3049</v>
      </c>
      <c r="H68">
        <v>3532.3</v>
      </c>
      <c r="I68">
        <v>4283.5</v>
      </c>
      <c r="J68">
        <v>5318.1</v>
      </c>
      <c r="K68">
        <v>6913.2</v>
      </c>
    </row>
    <row r="69" spans="1:11" x14ac:dyDescent="0.3">
      <c r="A69" s="2" t="s">
        <v>42</v>
      </c>
      <c r="B69">
        <v>50.7</v>
      </c>
      <c r="C69">
        <v>23.5</v>
      </c>
      <c r="D69">
        <v>74</v>
      </c>
      <c r="E69">
        <v>187.8</v>
      </c>
      <c r="F69">
        <v>29</v>
      </c>
      <c r="G69">
        <v>3047.1</v>
      </c>
      <c r="H69">
        <v>3042.2</v>
      </c>
      <c r="I69">
        <v>41.6</v>
      </c>
      <c r="J69">
        <v>2827.4</v>
      </c>
      <c r="K69">
        <v>552.9</v>
      </c>
    </row>
    <row r="70" spans="1:11" x14ac:dyDescent="0.3">
      <c r="A70" s="2" t="s">
        <v>43</v>
      </c>
      <c r="B70">
        <v>302080060</v>
      </c>
      <c r="C70">
        <v>302080060</v>
      </c>
      <c r="D70">
        <v>302080060</v>
      </c>
      <c r="E70">
        <v>302080060</v>
      </c>
      <c r="F70">
        <v>302080060</v>
      </c>
      <c r="G70">
        <v>302080060</v>
      </c>
      <c r="H70">
        <v>302080060</v>
      </c>
      <c r="I70">
        <v>302080060</v>
      </c>
      <c r="J70">
        <v>314402574</v>
      </c>
      <c r="K70">
        <v>314402574</v>
      </c>
    </row>
    <row r="71" spans="1:11" x14ac:dyDescent="0.3">
      <c r="A71" s="2" t="s">
        <v>44</v>
      </c>
    </row>
    <row r="72" spans="1:11" x14ac:dyDescent="0.3">
      <c r="A72" s="2" t="s">
        <v>45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3">
      <c r="A74" s="6" t="s">
        <v>86</v>
      </c>
      <c r="B74" s="2">
        <f>SUM(B66,SUM(B67:B69))</f>
        <v>47232.2</v>
      </c>
      <c r="C74" s="2">
        <f t="shared" ref="C74:K74" si="0">SUM(C66,SUM(C67:C69))</f>
        <v>56450.3</v>
      </c>
      <c r="D74" s="2">
        <f t="shared" si="0"/>
        <v>64948</v>
      </c>
      <c r="E74" s="2">
        <f t="shared" si="0"/>
        <v>69791.899999999994</v>
      </c>
      <c r="F74" s="2">
        <f t="shared" si="0"/>
        <v>68848.3</v>
      </c>
      <c r="G74" s="2">
        <f t="shared" si="0"/>
        <v>78752.100000000006</v>
      </c>
      <c r="H74" s="2">
        <f t="shared" si="0"/>
        <v>83264.5</v>
      </c>
      <c r="I74" s="2">
        <f t="shared" si="0"/>
        <v>92223.4</v>
      </c>
      <c r="J74" s="2">
        <f t="shared" si="0"/>
        <v>128046.40000000001</v>
      </c>
      <c r="K74" s="2">
        <f t="shared" si="0"/>
        <v>145977</v>
      </c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46</v>
      </c>
    </row>
    <row r="81" spans="1:11" s="5" customFormat="1" x14ac:dyDescent="0.3">
      <c r="A81" s="3" t="s">
        <v>11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3">
      <c r="A82" s="6" t="s">
        <v>47</v>
      </c>
      <c r="B82">
        <v>8482.5</v>
      </c>
      <c r="C82">
        <v>10282</v>
      </c>
      <c r="D82">
        <v>11787.9</v>
      </c>
      <c r="E82">
        <v>6600.9</v>
      </c>
      <c r="F82">
        <v>3495.8</v>
      </c>
      <c r="G82">
        <v>8856.2000000000007</v>
      </c>
      <c r="H82">
        <v>1840.5</v>
      </c>
      <c r="I82">
        <v>9251.4</v>
      </c>
      <c r="J82">
        <v>16801.099999999999</v>
      </c>
      <c r="K82">
        <v>16136.2</v>
      </c>
    </row>
    <row r="83" spans="1:11" s="6" customFormat="1" x14ac:dyDescent="0.3">
      <c r="A83" s="6" t="s">
        <v>48</v>
      </c>
      <c r="B83">
        <v>-7230.4</v>
      </c>
      <c r="C83">
        <v>-9173.2000000000007</v>
      </c>
      <c r="D83">
        <v>-8301.7000000000007</v>
      </c>
      <c r="E83">
        <v>-3539.9</v>
      </c>
      <c r="F83">
        <v>-556.6</v>
      </c>
      <c r="G83">
        <v>-7291.3</v>
      </c>
      <c r="H83">
        <v>-239.2</v>
      </c>
      <c r="I83">
        <v>-8036.1</v>
      </c>
      <c r="J83">
        <v>-11864.8</v>
      </c>
      <c r="K83">
        <v>-14456.1</v>
      </c>
    </row>
    <row r="84" spans="1:11" s="6" customFormat="1" x14ac:dyDescent="0.3">
      <c r="A84" s="6" t="s">
        <v>49</v>
      </c>
      <c r="B84">
        <v>-1236.5999999999999</v>
      </c>
      <c r="C84">
        <v>-1129.3</v>
      </c>
      <c r="D84">
        <v>-3436.1</v>
      </c>
      <c r="E84">
        <v>-2947.9</v>
      </c>
      <c r="F84">
        <v>-3104.3</v>
      </c>
      <c r="G84">
        <v>-1544.9</v>
      </c>
      <c r="H84">
        <v>-1607</v>
      </c>
      <c r="I84">
        <v>-1213.0999999999999</v>
      </c>
      <c r="J84">
        <v>-4062</v>
      </c>
      <c r="K84">
        <v>-4155.1000000000004</v>
      </c>
    </row>
    <row r="85" spans="1:11" s="1" customFormat="1" x14ac:dyDescent="0.3">
      <c r="A85" s="6" t="s">
        <v>50</v>
      </c>
      <c r="B85">
        <v>15.5</v>
      </c>
      <c r="C85">
        <v>-20.5</v>
      </c>
      <c r="D85">
        <v>50.1</v>
      </c>
      <c r="E85">
        <v>113.1</v>
      </c>
      <c r="F85">
        <v>-165.1</v>
      </c>
      <c r="G85">
        <v>20</v>
      </c>
      <c r="H85">
        <v>-5.7</v>
      </c>
      <c r="I85">
        <v>2.2000000000000002</v>
      </c>
      <c r="J85">
        <v>874.3</v>
      </c>
      <c r="K85">
        <v>-2475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51</v>
      </c>
      <c r="B90">
        <v>3716.3</v>
      </c>
      <c r="C90">
        <v>6015.7</v>
      </c>
      <c r="D90">
        <v>8861.1</v>
      </c>
      <c r="E90">
        <v>6672.55</v>
      </c>
      <c r="F90">
        <v>4288.3</v>
      </c>
      <c r="G90">
        <v>6859.2</v>
      </c>
      <c r="H90">
        <v>7561.3</v>
      </c>
      <c r="I90">
        <v>8292.15</v>
      </c>
      <c r="J90">
        <v>12600.35</v>
      </c>
      <c r="K90">
        <v>11522.15</v>
      </c>
    </row>
    <row r="92" spans="1:11" s="1" customFormat="1" x14ac:dyDescent="0.3">
      <c r="A92" s="1" t="s">
        <v>52</v>
      </c>
    </row>
    <row r="93" spans="1:11" x14ac:dyDescent="0.3">
      <c r="A93" s="2" t="s">
        <v>53</v>
      </c>
      <c r="B93" s="7">
        <v>30.21</v>
      </c>
      <c r="C93" s="7">
        <v>30.21</v>
      </c>
      <c r="D93" s="7">
        <v>30.21</v>
      </c>
      <c r="E93" s="7">
        <v>30.21</v>
      </c>
      <c r="F93" s="7">
        <v>30.21</v>
      </c>
      <c r="G93" s="7">
        <v>30.21</v>
      </c>
      <c r="H93" s="7">
        <v>30.21</v>
      </c>
      <c r="I93" s="7">
        <v>30.21</v>
      </c>
      <c r="J93" s="7">
        <v>31.44</v>
      </c>
      <c r="K93" s="7">
        <v>31.44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N29"/>
  <sheetViews>
    <sheetView zoomScale="110" zoomScaleNormal="110" workbookViewId="0">
      <selection activeCell="E2" sqref="E2"/>
    </sheetView>
  </sheetViews>
  <sheetFormatPr defaultRowHeight="14.4" x14ac:dyDescent="0.3"/>
  <cols>
    <col min="1" max="1" width="1.88671875" customWidth="1"/>
    <col min="2" max="2" width="34.109375" bestFit="1" customWidth="1"/>
    <col min="3" max="12" width="7.77734375" bestFit="1" customWidth="1"/>
    <col min="13" max="14" width="8.5546875" bestFit="1" customWidth="1"/>
  </cols>
  <sheetData>
    <row r="2" spans="2:14" ht="15" thickBot="1" x14ac:dyDescent="0.35">
      <c r="B2" s="24"/>
      <c r="C2" s="24">
        <v>42064</v>
      </c>
      <c r="D2" s="24">
        <v>42430</v>
      </c>
      <c r="E2" s="24">
        <v>42795</v>
      </c>
      <c r="F2" s="24">
        <v>43160</v>
      </c>
      <c r="G2" s="24">
        <v>43525</v>
      </c>
      <c r="H2" s="24">
        <v>43891</v>
      </c>
      <c r="I2" s="24">
        <v>44256</v>
      </c>
      <c r="J2" s="24">
        <v>44621</v>
      </c>
      <c r="K2" s="24">
        <v>44986</v>
      </c>
      <c r="L2" s="24">
        <v>45352</v>
      </c>
      <c r="M2" s="24">
        <v>45717</v>
      </c>
      <c r="N2" s="23"/>
    </row>
    <row r="3" spans="2:14" ht="15" thickBot="1" x14ac:dyDescent="0.35">
      <c r="B3" s="25" t="s">
        <v>113</v>
      </c>
      <c r="C3" s="26">
        <v>4995</v>
      </c>
      <c r="D3" s="26">
        <v>6449</v>
      </c>
      <c r="E3" s="26">
        <v>8482</v>
      </c>
      <c r="F3" s="26">
        <v>10282</v>
      </c>
      <c r="G3" s="26">
        <v>11788</v>
      </c>
      <c r="H3" s="26">
        <v>6601</v>
      </c>
      <c r="I3" s="26">
        <v>3496</v>
      </c>
      <c r="J3" s="26">
        <v>8856</v>
      </c>
      <c r="K3" s="26">
        <v>1840</v>
      </c>
      <c r="L3" s="26">
        <v>9251</v>
      </c>
      <c r="M3" s="26">
        <v>16801</v>
      </c>
      <c r="N3" s="26">
        <v>16136</v>
      </c>
    </row>
    <row r="4" spans="2:14" x14ac:dyDescent="0.3">
      <c r="B4" s="27" t="s">
        <v>90</v>
      </c>
      <c r="C4" s="26">
        <v>5111</v>
      </c>
      <c r="D4" s="26">
        <v>6779</v>
      </c>
      <c r="E4" s="26">
        <v>8935</v>
      </c>
      <c r="F4" s="26">
        <v>10413</v>
      </c>
      <c r="G4" s="26">
        <v>12036</v>
      </c>
      <c r="H4" s="26">
        <v>11060</v>
      </c>
      <c r="I4" s="26">
        <v>7503</v>
      </c>
      <c r="J4" s="26">
        <v>5531</v>
      </c>
      <c r="K4" s="26">
        <v>5832</v>
      </c>
      <c r="L4" s="26">
        <v>11112</v>
      </c>
      <c r="M4" s="26">
        <v>18676</v>
      </c>
      <c r="N4" s="26">
        <v>20322</v>
      </c>
    </row>
    <row r="5" spans="2:14" x14ac:dyDescent="0.3">
      <c r="B5" s="28" t="s">
        <v>40</v>
      </c>
      <c r="C5" s="29">
        <v>46</v>
      </c>
      <c r="D5" s="29">
        <v>345</v>
      </c>
      <c r="E5" s="29">
        <v>-204</v>
      </c>
      <c r="F5" s="29">
        <v>122</v>
      </c>
      <c r="G5" s="29">
        <v>-262</v>
      </c>
      <c r="H5" s="29">
        <v>-851</v>
      </c>
      <c r="I5" s="29">
        <v>340</v>
      </c>
      <c r="J5" s="29">
        <v>696</v>
      </c>
      <c r="K5" s="29">
        <v>-764</v>
      </c>
      <c r="L5" s="30">
        <v>-1258</v>
      </c>
      <c r="M5" s="30">
        <v>-1316</v>
      </c>
      <c r="N5" s="30">
        <v>-1969</v>
      </c>
    </row>
    <row r="6" spans="2:14" x14ac:dyDescent="0.3">
      <c r="B6" s="28" t="s">
        <v>41</v>
      </c>
      <c r="C6" s="29">
        <v>124</v>
      </c>
      <c r="D6" s="29">
        <v>-982</v>
      </c>
      <c r="E6" s="29">
        <v>-450</v>
      </c>
      <c r="F6" s="29">
        <v>-131</v>
      </c>
      <c r="G6" s="29">
        <v>104</v>
      </c>
      <c r="H6" s="29">
        <v>-162</v>
      </c>
      <c r="I6" s="29">
        <v>109</v>
      </c>
      <c r="J6" s="29">
        <v>165</v>
      </c>
      <c r="K6" s="29">
        <v>-483</v>
      </c>
      <c r="L6" s="29">
        <v>-751</v>
      </c>
      <c r="M6" s="29">
        <v>125</v>
      </c>
      <c r="N6" s="30">
        <v>-1595</v>
      </c>
    </row>
    <row r="7" spans="2:14" x14ac:dyDescent="0.3">
      <c r="B7" s="28" t="s">
        <v>91</v>
      </c>
      <c r="C7" s="29">
        <v>813</v>
      </c>
      <c r="D7" s="29">
        <v>712</v>
      </c>
      <c r="E7" s="30">
        <v>1789</v>
      </c>
      <c r="F7" s="29">
        <v>979</v>
      </c>
      <c r="G7" s="30">
        <v>2128</v>
      </c>
      <c r="H7" s="29">
        <v>-858</v>
      </c>
      <c r="I7" s="30">
        <v>-2155</v>
      </c>
      <c r="J7" s="30">
        <v>2680</v>
      </c>
      <c r="K7" s="29">
        <v>-396</v>
      </c>
      <c r="L7" s="30">
        <v>2008</v>
      </c>
      <c r="M7" s="30">
        <v>3321</v>
      </c>
      <c r="N7" s="30">
        <v>3509</v>
      </c>
    </row>
    <row r="8" spans="2:14" x14ac:dyDescent="0.3">
      <c r="B8" s="28" t="s">
        <v>92</v>
      </c>
      <c r="C8" s="29">
        <v>-563</v>
      </c>
      <c r="D8" s="29">
        <v>23</v>
      </c>
      <c r="E8" s="29">
        <v>-1</v>
      </c>
      <c r="F8" s="29">
        <v>1</v>
      </c>
      <c r="G8" s="29">
        <v>0</v>
      </c>
      <c r="H8" s="29">
        <v>-13</v>
      </c>
      <c r="I8" s="29">
        <v>-1</v>
      </c>
      <c r="J8" s="29">
        <v>-6</v>
      </c>
      <c r="K8" s="29">
        <v>-8</v>
      </c>
      <c r="L8" s="29">
        <v>1</v>
      </c>
      <c r="M8" s="29">
        <v>-3</v>
      </c>
      <c r="N8" s="29">
        <v>-10</v>
      </c>
    </row>
    <row r="9" spans="2:14" ht="15" thickBot="1" x14ac:dyDescent="0.35">
      <c r="B9" s="28" t="s">
        <v>93</v>
      </c>
      <c r="C9" s="29">
        <v>321</v>
      </c>
      <c r="D9" s="29">
        <v>648</v>
      </c>
      <c r="E9" s="29">
        <v>325</v>
      </c>
      <c r="F9" s="30">
        <v>1222</v>
      </c>
      <c r="G9" s="29">
        <v>839</v>
      </c>
      <c r="H9" s="29">
        <v>569</v>
      </c>
      <c r="I9" s="29">
        <v>-863</v>
      </c>
      <c r="J9" s="29">
        <v>801</v>
      </c>
      <c r="K9" s="30">
        <v>-1162</v>
      </c>
      <c r="L9" s="29">
        <v>374</v>
      </c>
      <c r="M9" s="29">
        <v>-406</v>
      </c>
      <c r="N9" s="29">
        <v>-313</v>
      </c>
    </row>
    <row r="10" spans="2:14" x14ac:dyDescent="0.3">
      <c r="B10" s="27" t="s">
        <v>94</v>
      </c>
      <c r="C10" s="31">
        <v>742</v>
      </c>
      <c r="D10" s="31">
        <v>745</v>
      </c>
      <c r="E10" s="26">
        <v>1460</v>
      </c>
      <c r="F10" s="26">
        <v>2192</v>
      </c>
      <c r="G10" s="26">
        <v>2808</v>
      </c>
      <c r="H10" s="26">
        <v>-1315</v>
      </c>
      <c r="I10" s="26">
        <v>-2570</v>
      </c>
      <c r="J10" s="26">
        <v>4336</v>
      </c>
      <c r="K10" s="26">
        <v>-2813</v>
      </c>
      <c r="L10" s="31">
        <v>373</v>
      </c>
      <c r="M10" s="26">
        <v>1722</v>
      </c>
      <c r="N10" s="31">
        <v>-378</v>
      </c>
    </row>
    <row r="11" spans="2:14" ht="15" thickBot="1" x14ac:dyDescent="0.35">
      <c r="B11" s="28" t="s">
        <v>95</v>
      </c>
      <c r="C11" s="29">
        <v>-858</v>
      </c>
      <c r="D11" s="30">
        <v>-1075</v>
      </c>
      <c r="E11" s="30">
        <v>-1912</v>
      </c>
      <c r="F11" s="30">
        <v>-2323</v>
      </c>
      <c r="G11" s="30">
        <v>-3056</v>
      </c>
      <c r="H11" s="30">
        <v>-3144</v>
      </c>
      <c r="I11" s="30">
        <v>-1438</v>
      </c>
      <c r="J11" s="30">
        <v>-1011</v>
      </c>
      <c r="K11" s="30">
        <v>-1178</v>
      </c>
      <c r="L11" s="30">
        <v>-2233</v>
      </c>
      <c r="M11" s="30">
        <v>-3597</v>
      </c>
      <c r="N11" s="30">
        <v>-3807</v>
      </c>
    </row>
    <row r="12" spans="2:14" x14ac:dyDescent="0.3">
      <c r="B12" s="32" t="s">
        <v>114</v>
      </c>
      <c r="C12" s="33">
        <v>-4997</v>
      </c>
      <c r="D12" s="33">
        <v>-4491</v>
      </c>
      <c r="E12" s="33">
        <v>-7230</v>
      </c>
      <c r="F12" s="33">
        <v>-9173</v>
      </c>
      <c r="G12" s="33">
        <v>-8302</v>
      </c>
      <c r="H12" s="33">
        <v>-3540</v>
      </c>
      <c r="I12" s="34">
        <v>-557</v>
      </c>
      <c r="J12" s="33">
        <v>-7291</v>
      </c>
      <c r="K12" s="34">
        <v>-239</v>
      </c>
      <c r="L12" s="33">
        <v>-8036</v>
      </c>
      <c r="M12" s="33">
        <v>-11865</v>
      </c>
      <c r="N12" s="33">
        <v>-14456</v>
      </c>
    </row>
    <row r="13" spans="2:14" x14ac:dyDescent="0.3">
      <c r="B13" s="35" t="s">
        <v>97</v>
      </c>
      <c r="C13" s="36">
        <v>-3545</v>
      </c>
      <c r="D13" s="36">
        <v>-3058</v>
      </c>
      <c r="E13" s="36">
        <v>-2469</v>
      </c>
      <c r="F13" s="36">
        <v>-3391</v>
      </c>
      <c r="G13" s="36">
        <v>-3912</v>
      </c>
      <c r="H13" s="36">
        <v>-4872</v>
      </c>
      <c r="I13" s="36">
        <v>-3437</v>
      </c>
      <c r="J13" s="36">
        <v>-2370</v>
      </c>
      <c r="K13" s="36">
        <v>-3459</v>
      </c>
      <c r="L13" s="36">
        <v>-6347</v>
      </c>
      <c r="M13" s="36">
        <v>-9200</v>
      </c>
      <c r="N13" s="36">
        <v>-10641</v>
      </c>
    </row>
    <row r="14" spans="2:14" x14ac:dyDescent="0.3">
      <c r="B14" s="35" t="s">
        <v>98</v>
      </c>
      <c r="C14" s="37">
        <v>9</v>
      </c>
      <c r="D14" s="37">
        <v>16</v>
      </c>
      <c r="E14" s="37">
        <v>12</v>
      </c>
      <c r="F14" s="37">
        <v>16</v>
      </c>
      <c r="G14" s="37">
        <v>26</v>
      </c>
      <c r="H14" s="37">
        <v>170</v>
      </c>
      <c r="I14" s="37">
        <v>37</v>
      </c>
      <c r="J14" s="37">
        <v>42</v>
      </c>
      <c r="K14" s="37">
        <v>136</v>
      </c>
      <c r="L14" s="37">
        <v>100</v>
      </c>
      <c r="M14" s="37">
        <v>45</v>
      </c>
      <c r="N14" s="37">
        <v>38</v>
      </c>
    </row>
    <row r="15" spans="2:14" x14ac:dyDescent="0.3">
      <c r="B15" s="35" t="s">
        <v>99</v>
      </c>
      <c r="C15" s="36">
        <v>-13100</v>
      </c>
      <c r="D15" s="36">
        <v>-17354</v>
      </c>
      <c r="E15" s="36">
        <v>-12044</v>
      </c>
      <c r="F15" s="36">
        <v>-17716</v>
      </c>
      <c r="G15" s="36">
        <v>-47069</v>
      </c>
      <c r="H15" s="36">
        <v>-52957</v>
      </c>
      <c r="I15" s="36">
        <v>-44205</v>
      </c>
      <c r="J15" s="36">
        <v>-44869</v>
      </c>
      <c r="K15" s="36">
        <v>-60525</v>
      </c>
      <c r="L15" s="36">
        <v>-66597</v>
      </c>
      <c r="M15" s="36">
        <v>-65736</v>
      </c>
      <c r="N15" s="36">
        <v>-73882</v>
      </c>
    </row>
    <row r="16" spans="2:14" x14ac:dyDescent="0.3">
      <c r="B16" s="35" t="s">
        <v>100</v>
      </c>
      <c r="C16" s="36">
        <v>10450</v>
      </c>
      <c r="D16" s="36">
        <v>15270</v>
      </c>
      <c r="E16" s="36">
        <v>7378</v>
      </c>
      <c r="F16" s="36">
        <v>11839</v>
      </c>
      <c r="G16" s="36">
        <v>42564</v>
      </c>
      <c r="H16" s="36">
        <v>53986</v>
      </c>
      <c r="I16" s="36">
        <v>46969</v>
      </c>
      <c r="J16" s="36">
        <v>42920</v>
      </c>
      <c r="K16" s="36">
        <v>63579</v>
      </c>
      <c r="L16" s="36">
        <v>61605</v>
      </c>
      <c r="M16" s="36">
        <v>61933</v>
      </c>
      <c r="N16" s="36">
        <v>69795</v>
      </c>
    </row>
    <row r="17" spans="2:14" x14ac:dyDescent="0.3">
      <c r="B17" s="35" t="s">
        <v>101</v>
      </c>
      <c r="C17" s="37">
        <v>195</v>
      </c>
      <c r="D17" s="37">
        <v>152</v>
      </c>
      <c r="E17" s="37">
        <v>67</v>
      </c>
      <c r="F17" s="37">
        <v>36</v>
      </c>
      <c r="G17" s="37">
        <v>68</v>
      </c>
      <c r="H17" s="37">
        <v>124</v>
      </c>
      <c r="I17" s="37">
        <v>96</v>
      </c>
      <c r="J17" s="37">
        <v>67</v>
      </c>
      <c r="K17" s="37">
        <v>174</v>
      </c>
      <c r="L17" s="37">
        <v>194</v>
      </c>
      <c r="M17" s="37">
        <v>372</v>
      </c>
      <c r="N17" s="37">
        <v>444</v>
      </c>
    </row>
    <row r="18" spans="2:14" x14ac:dyDescent="0.3">
      <c r="B18" s="35" t="s">
        <v>102</v>
      </c>
      <c r="C18" s="37">
        <v>54</v>
      </c>
      <c r="D18" s="37">
        <v>54</v>
      </c>
      <c r="E18" s="37">
        <v>11</v>
      </c>
      <c r="F18" s="37">
        <v>13</v>
      </c>
      <c r="G18" s="37">
        <v>20</v>
      </c>
      <c r="H18" s="37">
        <v>9</v>
      </c>
      <c r="I18" s="37">
        <v>4</v>
      </c>
      <c r="J18" s="37">
        <v>3</v>
      </c>
      <c r="K18" s="37">
        <v>3</v>
      </c>
      <c r="L18" s="37">
        <v>6</v>
      </c>
      <c r="M18" s="37">
        <v>6</v>
      </c>
      <c r="N18" s="37">
        <v>9</v>
      </c>
    </row>
    <row r="19" spans="2:14" x14ac:dyDescent="0.3">
      <c r="B19" s="35" t="s">
        <v>103</v>
      </c>
      <c r="C19" s="37">
        <v>0</v>
      </c>
      <c r="D19" s="37">
        <v>0</v>
      </c>
      <c r="E19" s="37">
        <v>0</v>
      </c>
      <c r="F19" s="37">
        <v>22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</row>
    <row r="20" spans="2:14" x14ac:dyDescent="0.3">
      <c r="B20" s="35" t="s">
        <v>104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-15</v>
      </c>
      <c r="J20" s="37">
        <v>-65</v>
      </c>
      <c r="K20" s="37">
        <v>-146</v>
      </c>
      <c r="L20" s="37">
        <v>0</v>
      </c>
      <c r="M20" s="37">
        <v>-80</v>
      </c>
      <c r="N20" s="37">
        <v>-18</v>
      </c>
    </row>
    <row r="21" spans="2:14" ht="15" thickBot="1" x14ac:dyDescent="0.35">
      <c r="B21" s="35" t="s">
        <v>105</v>
      </c>
      <c r="C21" s="37">
        <v>940</v>
      </c>
      <c r="D21" s="37">
        <v>428</v>
      </c>
      <c r="E21" s="37">
        <v>-186</v>
      </c>
      <c r="F21" s="37">
        <v>7</v>
      </c>
      <c r="G21" s="37">
        <v>0</v>
      </c>
      <c r="H21" s="37">
        <v>0</v>
      </c>
      <c r="I21" s="37">
        <v>-5</v>
      </c>
      <c r="J21" s="36">
        <v>-3019</v>
      </c>
      <c r="K21" s="37">
        <v>-1</v>
      </c>
      <c r="L21" s="36">
        <v>3003</v>
      </c>
      <c r="M21" s="37">
        <v>795</v>
      </c>
      <c r="N21" s="37">
        <v>-201</v>
      </c>
    </row>
    <row r="22" spans="2:14" x14ac:dyDescent="0.3">
      <c r="B22" s="25" t="s">
        <v>115</v>
      </c>
      <c r="C22" s="31">
        <v>-74</v>
      </c>
      <c r="D22" s="26">
        <v>-2004</v>
      </c>
      <c r="E22" s="26">
        <v>-1237</v>
      </c>
      <c r="F22" s="26">
        <v>-1129</v>
      </c>
      <c r="G22" s="26">
        <v>-3436</v>
      </c>
      <c r="H22" s="26">
        <v>-2948</v>
      </c>
      <c r="I22" s="26">
        <v>-3104</v>
      </c>
      <c r="J22" s="26">
        <v>-1545</v>
      </c>
      <c r="K22" s="26">
        <v>-1607</v>
      </c>
      <c r="L22" s="26">
        <v>-1213</v>
      </c>
      <c r="M22" s="26">
        <v>-4062</v>
      </c>
      <c r="N22" s="26">
        <v>-4155</v>
      </c>
    </row>
    <row r="23" spans="2:14" x14ac:dyDescent="0.3">
      <c r="B23" s="28" t="s">
        <v>107</v>
      </c>
      <c r="C23" s="30">
        <v>1264</v>
      </c>
      <c r="D23" s="29">
        <v>92</v>
      </c>
      <c r="E23" s="29">
        <v>77</v>
      </c>
      <c r="F23" s="29">
        <v>484</v>
      </c>
      <c r="G23" s="29">
        <v>10</v>
      </c>
      <c r="H23" s="29">
        <v>39</v>
      </c>
      <c r="I23" s="29">
        <v>0</v>
      </c>
      <c r="J23" s="29">
        <v>380</v>
      </c>
      <c r="K23" s="29">
        <v>0</v>
      </c>
      <c r="L23" s="29">
        <v>831</v>
      </c>
      <c r="M23" s="29">
        <v>0</v>
      </c>
      <c r="N23" s="29">
        <v>0</v>
      </c>
    </row>
    <row r="24" spans="2:14" x14ac:dyDescent="0.3">
      <c r="B24" s="28" t="s">
        <v>108</v>
      </c>
      <c r="C24" s="29">
        <v>-885</v>
      </c>
      <c r="D24" s="30">
        <v>-1449</v>
      </c>
      <c r="E24" s="29">
        <v>-313</v>
      </c>
      <c r="F24" s="29">
        <v>-231</v>
      </c>
      <c r="G24" s="29">
        <v>-373</v>
      </c>
      <c r="H24" s="29">
        <v>0</v>
      </c>
      <c r="I24" s="29">
        <v>-46</v>
      </c>
      <c r="J24" s="29">
        <v>0</v>
      </c>
      <c r="K24" s="29">
        <v>-110</v>
      </c>
      <c r="L24" s="29">
        <v>0</v>
      </c>
      <c r="M24" s="30">
        <v>-1183</v>
      </c>
      <c r="N24" s="29">
        <v>-33</v>
      </c>
    </row>
    <row r="25" spans="2:14" x14ac:dyDescent="0.3">
      <c r="B25" s="28" t="s">
        <v>109</v>
      </c>
      <c r="C25" s="29">
        <v>-170</v>
      </c>
      <c r="D25" s="29">
        <v>-222</v>
      </c>
      <c r="E25" s="29">
        <v>-92</v>
      </c>
      <c r="F25" s="29">
        <v>-110</v>
      </c>
      <c r="G25" s="29">
        <v>-346</v>
      </c>
      <c r="H25" s="29">
        <v>-73</v>
      </c>
      <c r="I25" s="29">
        <v>-136</v>
      </c>
      <c r="J25" s="29">
        <v>-102</v>
      </c>
      <c r="K25" s="29">
        <v>-130</v>
      </c>
      <c r="L25" s="29">
        <v>-186</v>
      </c>
      <c r="M25" s="29">
        <v>-147</v>
      </c>
      <c r="N25" s="29">
        <v>-167</v>
      </c>
    </row>
    <row r="26" spans="2:14" x14ac:dyDescent="0.3">
      <c r="B26" s="28" t="s">
        <v>110</v>
      </c>
      <c r="C26" s="29">
        <v>-242</v>
      </c>
      <c r="D26" s="29">
        <v>-362</v>
      </c>
      <c r="E26" s="29">
        <v>-755</v>
      </c>
      <c r="F26" s="30">
        <v>-1057</v>
      </c>
      <c r="G26" s="30">
        <v>-2266</v>
      </c>
      <c r="H26" s="30">
        <v>-2417</v>
      </c>
      <c r="I26" s="30">
        <v>-2417</v>
      </c>
      <c r="J26" s="30">
        <v>-1812</v>
      </c>
      <c r="K26" s="30">
        <v>-1359</v>
      </c>
      <c r="L26" s="30">
        <v>-1812</v>
      </c>
      <c r="M26" s="30">
        <v>-2719</v>
      </c>
      <c r="N26" s="30">
        <v>-3930</v>
      </c>
    </row>
    <row r="27" spans="2:14" x14ac:dyDescent="0.3">
      <c r="B27" s="28" t="s">
        <v>111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-10</v>
      </c>
      <c r="J27" s="29">
        <v>-11</v>
      </c>
      <c r="K27" s="29">
        <v>-8</v>
      </c>
      <c r="L27" s="29">
        <v>-46</v>
      </c>
      <c r="M27" s="29">
        <v>-13</v>
      </c>
      <c r="N27" s="29">
        <v>-25</v>
      </c>
    </row>
    <row r="28" spans="2:14" ht="15" thickBot="1" x14ac:dyDescent="0.35">
      <c r="B28" s="28" t="s">
        <v>112</v>
      </c>
      <c r="C28" s="29">
        <v>-41</v>
      </c>
      <c r="D28" s="29">
        <v>-62</v>
      </c>
      <c r="E28" s="29">
        <v>-154</v>
      </c>
      <c r="F28" s="29">
        <v>-215</v>
      </c>
      <c r="G28" s="29">
        <v>-461</v>
      </c>
      <c r="H28" s="29">
        <v>-497</v>
      </c>
      <c r="I28" s="29">
        <v>-497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</row>
    <row r="29" spans="2:14" x14ac:dyDescent="0.3">
      <c r="B29" s="32" t="s">
        <v>50</v>
      </c>
      <c r="C29" s="34">
        <v>-76</v>
      </c>
      <c r="D29" s="34">
        <v>-45</v>
      </c>
      <c r="E29" s="34">
        <v>16</v>
      </c>
      <c r="F29" s="34">
        <v>-20</v>
      </c>
      <c r="G29" s="34">
        <v>50</v>
      </c>
      <c r="H29" s="34">
        <v>113</v>
      </c>
      <c r="I29" s="34">
        <v>-165</v>
      </c>
      <c r="J29" s="34">
        <v>20</v>
      </c>
      <c r="K29" s="34">
        <v>-6</v>
      </c>
      <c r="L29" s="34">
        <v>2</v>
      </c>
      <c r="M29" s="34">
        <v>874</v>
      </c>
      <c r="N29" s="33">
        <v>-2475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I7"/>
  <sheetViews>
    <sheetView workbookViewId="0">
      <selection activeCell="O23" sqref="O23"/>
    </sheetView>
  </sheetViews>
  <sheetFormatPr defaultRowHeight="14.4" x14ac:dyDescent="0.3"/>
  <cols>
    <col min="2" max="2" width="5.44140625" bestFit="1" customWidth="1"/>
    <col min="3" max="3" width="15.77734375" bestFit="1" customWidth="1"/>
    <col min="4" max="4" width="9" bestFit="1" customWidth="1"/>
    <col min="5" max="5" width="13.21875" bestFit="1" customWidth="1"/>
    <col min="6" max="6" width="8.5546875" bestFit="1" customWidth="1"/>
    <col min="7" max="8" width="10.109375" bestFit="1" customWidth="1"/>
    <col min="9" max="9" width="16.21875" bestFit="1" customWidth="1"/>
  </cols>
  <sheetData>
    <row r="2" spans="2:9" x14ac:dyDescent="0.3">
      <c r="B2" t="s">
        <v>222</v>
      </c>
      <c r="C2" t="s">
        <v>223</v>
      </c>
      <c r="D2" t="s">
        <v>229</v>
      </c>
      <c r="E2" t="s">
        <v>230</v>
      </c>
      <c r="F2" t="s">
        <v>224</v>
      </c>
      <c r="G2" t="s">
        <v>231</v>
      </c>
      <c r="H2" t="s">
        <v>253</v>
      </c>
      <c r="I2" t="s">
        <v>254</v>
      </c>
    </row>
    <row r="3" spans="2:9" x14ac:dyDescent="0.3">
      <c r="B3">
        <v>1</v>
      </c>
      <c r="C3" t="s">
        <v>225</v>
      </c>
      <c r="D3">
        <v>13502.4</v>
      </c>
      <c r="E3">
        <v>424425.58</v>
      </c>
      <c r="F3">
        <v>0</v>
      </c>
      <c r="G3">
        <v>99.9</v>
      </c>
      <c r="H3">
        <v>668.5</v>
      </c>
      <c r="I3">
        <v>65473.4</v>
      </c>
    </row>
    <row r="4" spans="2:9" x14ac:dyDescent="0.3">
      <c r="B4">
        <v>2</v>
      </c>
      <c r="C4" t="s">
        <v>226</v>
      </c>
      <c r="D4">
        <v>3166.8</v>
      </c>
      <c r="E4">
        <v>393968.16</v>
      </c>
      <c r="F4">
        <v>1.53</v>
      </c>
      <c r="G4">
        <v>126709.33</v>
      </c>
      <c r="H4">
        <v>22265.37</v>
      </c>
      <c r="I4">
        <v>36327.379999999997</v>
      </c>
    </row>
    <row r="5" spans="2:9" x14ac:dyDescent="0.3">
      <c r="B5">
        <v>3</v>
      </c>
      <c r="C5" t="s">
        <v>227</v>
      </c>
      <c r="D5">
        <v>2019.9</v>
      </c>
      <c r="E5">
        <v>164148.63</v>
      </c>
      <c r="F5">
        <v>0.05</v>
      </c>
      <c r="G5">
        <v>856.56</v>
      </c>
      <c r="H5">
        <v>6312.16</v>
      </c>
      <c r="I5">
        <v>149.9</v>
      </c>
    </row>
    <row r="6" spans="2:9" x14ac:dyDescent="0.3">
      <c r="B6">
        <v>4</v>
      </c>
      <c r="C6" t="s">
        <v>228</v>
      </c>
      <c r="D6">
        <v>335.35</v>
      </c>
      <c r="E6">
        <v>123524.31</v>
      </c>
      <c r="F6">
        <v>0.61</v>
      </c>
      <c r="G6">
        <v>67258</v>
      </c>
      <c r="H6">
        <v>27592</v>
      </c>
      <c r="I6">
        <v>26249</v>
      </c>
    </row>
    <row r="7" spans="2:9" x14ac:dyDescent="0.3">
      <c r="B7">
        <v>5</v>
      </c>
      <c r="C7" t="s">
        <v>232</v>
      </c>
      <c r="D7">
        <v>21669.55</v>
      </c>
      <c r="E7">
        <v>28555.84</v>
      </c>
      <c r="F7">
        <v>0</v>
      </c>
      <c r="G7">
        <v>0</v>
      </c>
      <c r="H7">
        <v>504.87</v>
      </c>
      <c r="I7">
        <v>95.27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O18"/>
  <sheetViews>
    <sheetView workbookViewId="0">
      <selection activeCell="N12" sqref="N12"/>
    </sheetView>
  </sheetViews>
  <sheetFormatPr defaultRowHeight="14.4" x14ac:dyDescent="0.3"/>
  <cols>
    <col min="2" max="2" width="5.44140625" bestFit="1" customWidth="1"/>
    <col min="3" max="3" width="15.77734375" bestFit="1" customWidth="1"/>
    <col min="4" max="4" width="7.6640625" bestFit="1" customWidth="1"/>
    <col min="5" max="5" width="13.21875" bestFit="1" customWidth="1"/>
    <col min="6" max="6" width="12.44140625" bestFit="1" customWidth="1"/>
    <col min="7" max="7" width="10.33203125" bestFit="1" customWidth="1"/>
    <col min="8" max="8" width="10.77734375" bestFit="1" customWidth="1"/>
    <col min="9" max="10" width="10.109375" bestFit="1" customWidth="1"/>
    <col min="11" max="11" width="16.21875" bestFit="1" customWidth="1"/>
    <col min="12" max="12" width="10" bestFit="1" customWidth="1"/>
  </cols>
  <sheetData>
    <row r="2" spans="2:15" x14ac:dyDescent="0.3">
      <c r="B2" t="s">
        <v>222</v>
      </c>
      <c r="C2" t="s">
        <v>223</v>
      </c>
      <c r="D2" t="s">
        <v>229</v>
      </c>
      <c r="E2" t="s">
        <v>230</v>
      </c>
      <c r="F2" t="s">
        <v>258</v>
      </c>
      <c r="G2" t="s">
        <v>259</v>
      </c>
      <c r="H2" t="s">
        <v>260</v>
      </c>
      <c r="I2" t="s">
        <v>231</v>
      </c>
      <c r="J2" t="s">
        <v>253</v>
      </c>
      <c r="K2" t="s">
        <v>254</v>
      </c>
      <c r="L2" t="s">
        <v>261</v>
      </c>
      <c r="M2" t="s">
        <v>275</v>
      </c>
      <c r="N2" t="s">
        <v>63</v>
      </c>
      <c r="O2" t="s">
        <v>279</v>
      </c>
    </row>
    <row r="3" spans="2:15" x14ac:dyDescent="0.3">
      <c r="B3">
        <v>1</v>
      </c>
      <c r="C3" t="s">
        <v>225</v>
      </c>
      <c r="D3">
        <v>13011</v>
      </c>
      <c r="E3">
        <v>408905.59</v>
      </c>
      <c r="F3">
        <v>5</v>
      </c>
      <c r="G3">
        <v>171773.6</v>
      </c>
      <c r="H3">
        <v>15.84</v>
      </c>
      <c r="I3">
        <v>99.9</v>
      </c>
      <c r="J3">
        <v>668.5</v>
      </c>
      <c r="K3">
        <v>65473.4</v>
      </c>
      <c r="L3">
        <v>408336.99</v>
      </c>
      <c r="M3">
        <v>26.83</v>
      </c>
      <c r="N3">
        <v>4265</v>
      </c>
      <c r="O3">
        <v>14931.6</v>
      </c>
    </row>
    <row r="4" spans="2:15" x14ac:dyDescent="0.3">
      <c r="B4">
        <v>2</v>
      </c>
      <c r="C4" t="s">
        <v>226</v>
      </c>
      <c r="D4">
        <v>3031.2</v>
      </c>
      <c r="E4">
        <v>377105.09</v>
      </c>
      <c r="F4">
        <v>5</v>
      </c>
      <c r="G4">
        <v>186333.92</v>
      </c>
      <c r="H4">
        <v>11.97</v>
      </c>
      <c r="I4">
        <v>126709.33</v>
      </c>
      <c r="J4">
        <v>22265.37</v>
      </c>
      <c r="K4">
        <v>36327.379999999997</v>
      </c>
      <c r="L4">
        <v>481549.05</v>
      </c>
      <c r="M4">
        <v>23.37</v>
      </c>
      <c r="N4" s="137">
        <v>38942</v>
      </c>
      <c r="O4">
        <v>16903.650000000001</v>
      </c>
    </row>
    <row r="5" spans="2:15" x14ac:dyDescent="0.3">
      <c r="B5">
        <v>3</v>
      </c>
      <c r="C5" t="s">
        <v>227</v>
      </c>
      <c r="D5">
        <v>1994.7</v>
      </c>
      <c r="E5">
        <v>162041.48000000001</v>
      </c>
      <c r="F5">
        <v>10</v>
      </c>
      <c r="G5">
        <v>68100.58</v>
      </c>
      <c r="H5">
        <v>15.87</v>
      </c>
      <c r="I5">
        <v>856.56</v>
      </c>
      <c r="J5">
        <v>6312.16</v>
      </c>
      <c r="K5">
        <v>149.9</v>
      </c>
      <c r="L5">
        <v>156585.88</v>
      </c>
      <c r="M5">
        <v>28.49</v>
      </c>
      <c r="N5" s="137">
        <v>17973</v>
      </c>
      <c r="O5">
        <v>5683.48</v>
      </c>
    </row>
    <row r="6" spans="2:15" x14ac:dyDescent="0.3">
      <c r="B6">
        <v>4</v>
      </c>
      <c r="C6" t="s">
        <v>228</v>
      </c>
      <c r="D6">
        <v>324.55</v>
      </c>
      <c r="E6">
        <v>119511.56</v>
      </c>
      <c r="F6">
        <v>2</v>
      </c>
      <c r="G6">
        <v>349637</v>
      </c>
      <c r="H6">
        <v>5.21</v>
      </c>
      <c r="I6">
        <v>67258</v>
      </c>
      <c r="J6">
        <v>27592</v>
      </c>
      <c r="K6">
        <v>26249</v>
      </c>
      <c r="L6">
        <v>159177.56</v>
      </c>
      <c r="M6">
        <v>19.3</v>
      </c>
      <c r="N6" s="137">
        <v>12543</v>
      </c>
      <c r="O6">
        <v>85324</v>
      </c>
    </row>
    <row r="7" spans="2:15" x14ac:dyDescent="0.3">
      <c r="B7">
        <v>5</v>
      </c>
      <c r="C7" t="s">
        <v>232</v>
      </c>
      <c r="D7">
        <v>21560</v>
      </c>
      <c r="E7">
        <v>28402.05</v>
      </c>
      <c r="F7">
        <v>10</v>
      </c>
      <c r="G7">
        <v>8863.2199999999993</v>
      </c>
      <c r="H7">
        <v>18.68</v>
      </c>
      <c r="I7">
        <v>0</v>
      </c>
      <c r="J7">
        <v>504.87</v>
      </c>
      <c r="K7">
        <v>95.27</v>
      </c>
      <c r="L7">
        <v>27897.18</v>
      </c>
      <c r="M7">
        <v>28.74</v>
      </c>
      <c r="N7" s="137">
        <v>2322</v>
      </c>
      <c r="O7">
        <v>1367.95</v>
      </c>
    </row>
    <row r="15" spans="2:15" x14ac:dyDescent="0.3">
      <c r="M15" s="136"/>
      <c r="N15" s="136"/>
      <c r="O15" s="45"/>
    </row>
    <row r="16" spans="2:15" x14ac:dyDescent="0.3">
      <c r="M16" s="136"/>
      <c r="N16" s="136"/>
      <c r="O16" s="45"/>
    </row>
    <row r="17" spans="13:15" x14ac:dyDescent="0.3">
      <c r="M17" s="136"/>
      <c r="O17" s="45"/>
    </row>
    <row r="18" spans="13:15" x14ac:dyDescent="0.3">
      <c r="M18" s="1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Financials&gt;</vt:lpstr>
      <vt:lpstr>HistoricalFS</vt:lpstr>
      <vt:lpstr>Ratio Analysis</vt:lpstr>
      <vt:lpstr>Growth Assumptions</vt:lpstr>
      <vt:lpstr>FCFF</vt:lpstr>
      <vt:lpstr>WACC</vt:lpstr>
      <vt:lpstr>Common Size Statement</vt:lpstr>
      <vt:lpstr>DCF</vt:lpstr>
      <vt:lpstr>Comps Analysis</vt:lpstr>
      <vt:lpstr>Data&gt;</vt:lpstr>
      <vt:lpstr>Data Sheet</vt:lpstr>
      <vt:lpstr>Cash Flow Data</vt:lpstr>
      <vt:lpstr>Beta - Comps Data</vt:lpstr>
      <vt:lpstr>Analysis - Comps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Xalxo</dc:creator>
  <cp:lastModifiedBy>Sanskar Xalxo</cp:lastModifiedBy>
  <dcterms:created xsi:type="dcterms:W3CDTF">2026-03-07T11:37:12Z</dcterms:created>
  <dcterms:modified xsi:type="dcterms:W3CDTF">2026-03-13T06:33:49Z</dcterms:modified>
</cp:coreProperties>
</file>